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OsamuKoga\09_資格試験\宅建士\"/>
    </mc:Choice>
  </mc:AlternateContent>
  <xr:revisionPtr revIDLastSave="0" documentId="13_ncr:1_{E9CFC14F-66D1-4035-BD1F-5C7B20F492A6}" xr6:coauthVersionLast="47" xr6:coauthVersionMax="47" xr10:uidLastSave="{00000000-0000-0000-0000-000000000000}"/>
  <bookViews>
    <workbookView xWindow="30945" yWindow="2610" windowWidth="19815" windowHeight="9525" xr2:uid="{00000000-000D-0000-FFFF-FFFF00000000}"/>
  </bookViews>
  <sheets>
    <sheet name="宅建業法" sheetId="1" r:id="rId1"/>
    <sheet name="民法" sheetId="3" r:id="rId2"/>
    <sheet name="法令上の制限" sheetId="5" r:id="rId3"/>
    <sheet name="その他関連知識" sheetId="6" r:id="rId4"/>
    <sheet name="データ宅建業法" sheetId="7" r:id="rId5"/>
    <sheet name="回答シート" sheetId="4" r:id="rId6"/>
  </sheets>
  <definedNames>
    <definedName name="_xlnm._FilterDatabase" localSheetId="5" hidden="1">回答シート!$A$2:$M$2</definedName>
  </definedNames>
  <calcPr calcId="191029"/>
</workbook>
</file>

<file path=xl/calcChain.xml><?xml version="1.0" encoding="utf-8"?>
<calcChain xmlns="http://schemas.openxmlformats.org/spreadsheetml/2006/main">
  <c r="A127" i="1" l="1"/>
  <c r="C2" i="1"/>
  <c r="H126" i="1"/>
  <c r="F126" i="1"/>
  <c r="C126" i="1"/>
  <c r="B126" i="1"/>
  <c r="H125" i="1"/>
  <c r="F125" i="1"/>
  <c r="C125" i="1"/>
  <c r="B125" i="1"/>
  <c r="H124" i="1"/>
  <c r="F124" i="1"/>
  <c r="C124" i="1"/>
  <c r="B124" i="1"/>
  <c r="H123" i="1"/>
  <c r="F123" i="1"/>
  <c r="C123" i="1"/>
  <c r="B123" i="1"/>
  <c r="H122" i="1"/>
  <c r="F122" i="1"/>
  <c r="C122" i="1"/>
  <c r="B122" i="1"/>
  <c r="H121" i="1"/>
  <c r="F121" i="1"/>
  <c r="C121" i="1"/>
  <c r="B121" i="1"/>
  <c r="H120" i="1"/>
  <c r="F120" i="1"/>
  <c r="C120" i="1"/>
  <c r="B120" i="1"/>
  <c r="H119" i="1"/>
  <c r="F119" i="1"/>
  <c r="C119" i="1"/>
  <c r="B119" i="1"/>
  <c r="H118" i="1"/>
  <c r="F118" i="1"/>
  <c r="C118" i="1"/>
  <c r="B118" i="1"/>
  <c r="H117" i="1"/>
  <c r="F117" i="1"/>
  <c r="C117" i="1"/>
  <c r="B117" i="1"/>
  <c r="H116" i="1"/>
  <c r="F116" i="1"/>
  <c r="C116" i="1"/>
  <c r="B116" i="1"/>
  <c r="H115" i="1"/>
  <c r="F115" i="1"/>
  <c r="C115" i="1"/>
  <c r="B115" i="1"/>
  <c r="H114" i="1"/>
  <c r="F114" i="1"/>
  <c r="C114" i="1"/>
  <c r="B114" i="1"/>
  <c r="H113" i="1"/>
  <c r="F113" i="1"/>
  <c r="C113" i="1"/>
  <c r="B113" i="1"/>
  <c r="H112" i="1"/>
  <c r="F112" i="1"/>
  <c r="C112" i="1"/>
  <c r="B112" i="1"/>
  <c r="H111" i="1"/>
  <c r="F111" i="1"/>
  <c r="C111" i="1"/>
  <c r="B111" i="1"/>
  <c r="H110" i="1"/>
  <c r="F110" i="1"/>
  <c r="C110" i="1"/>
  <c r="B110" i="1"/>
  <c r="H109" i="1"/>
  <c r="F109" i="1"/>
  <c r="C109" i="1"/>
  <c r="B109" i="1"/>
  <c r="H108" i="1"/>
  <c r="F108" i="1"/>
  <c r="C108" i="1"/>
  <c r="B108" i="1"/>
  <c r="H107" i="1"/>
  <c r="F107" i="1"/>
  <c r="C107" i="1"/>
  <c r="B107" i="1"/>
  <c r="H106" i="1"/>
  <c r="F106" i="1"/>
  <c r="C106" i="1"/>
  <c r="B106" i="1"/>
  <c r="H105" i="1"/>
  <c r="F105" i="1"/>
  <c r="C105" i="1"/>
  <c r="B105" i="1"/>
  <c r="H104" i="1"/>
  <c r="F104" i="1"/>
  <c r="C104" i="1"/>
  <c r="B104" i="1"/>
  <c r="H103" i="1"/>
  <c r="F103" i="1"/>
  <c r="C103" i="1"/>
  <c r="B103" i="1"/>
  <c r="H102" i="1"/>
  <c r="F102" i="1"/>
  <c r="C102" i="1"/>
  <c r="B102" i="1"/>
  <c r="H101" i="1"/>
  <c r="F101" i="1"/>
  <c r="C101" i="1"/>
  <c r="B101" i="1"/>
  <c r="H100" i="1"/>
  <c r="F100" i="1"/>
  <c r="C100" i="1"/>
  <c r="B100" i="1"/>
  <c r="H99" i="1"/>
  <c r="F99" i="1"/>
  <c r="C99" i="1"/>
  <c r="B99" i="1"/>
  <c r="H98" i="1"/>
  <c r="F98" i="1"/>
  <c r="C98" i="1"/>
  <c r="B98" i="1"/>
  <c r="H97" i="1"/>
  <c r="F97" i="1"/>
  <c r="C97" i="1"/>
  <c r="B97" i="1"/>
  <c r="H96" i="1"/>
  <c r="F96" i="1"/>
  <c r="C96" i="1"/>
  <c r="B96" i="1"/>
  <c r="H95" i="1"/>
  <c r="F95" i="1"/>
  <c r="C95" i="1"/>
  <c r="B95" i="1"/>
  <c r="H94" i="1"/>
  <c r="F94" i="1"/>
  <c r="C94" i="1"/>
  <c r="B94" i="1"/>
  <c r="H93" i="1"/>
  <c r="F93" i="1"/>
  <c r="C93" i="1"/>
  <c r="B93" i="1"/>
  <c r="H92" i="1"/>
  <c r="F92" i="1"/>
  <c r="C92" i="1"/>
  <c r="B92" i="1"/>
  <c r="H91" i="1"/>
  <c r="F91" i="1"/>
  <c r="C91" i="1"/>
  <c r="B91" i="1"/>
  <c r="H90" i="1"/>
  <c r="F90" i="1"/>
  <c r="C90" i="1"/>
  <c r="B90" i="1"/>
  <c r="H89" i="1"/>
  <c r="F89" i="1"/>
  <c r="C89" i="1"/>
  <c r="B89" i="1"/>
  <c r="H88" i="1"/>
  <c r="F88" i="1"/>
  <c r="C88" i="1"/>
  <c r="B88" i="1"/>
  <c r="H87" i="1"/>
  <c r="F87" i="1"/>
  <c r="C87" i="1"/>
  <c r="B87" i="1"/>
  <c r="H86" i="1"/>
  <c r="F86" i="1"/>
  <c r="C86" i="1"/>
  <c r="B86" i="1"/>
  <c r="H85" i="1"/>
  <c r="F85" i="1"/>
  <c r="C85" i="1"/>
  <c r="B85" i="1"/>
  <c r="H84" i="1"/>
  <c r="F84" i="1"/>
  <c r="C84" i="1"/>
  <c r="B84" i="1"/>
  <c r="H83" i="1"/>
  <c r="F83" i="1"/>
  <c r="C83" i="1"/>
  <c r="B83" i="1"/>
  <c r="H82" i="1"/>
  <c r="F82" i="1"/>
  <c r="C82" i="1"/>
  <c r="B82" i="1"/>
  <c r="H81" i="1"/>
  <c r="F81" i="1"/>
  <c r="C81" i="1"/>
  <c r="B81" i="1"/>
  <c r="H80" i="1"/>
  <c r="F80" i="1"/>
  <c r="C80" i="1"/>
  <c r="B80" i="1"/>
  <c r="H79" i="1"/>
  <c r="F79" i="1"/>
  <c r="C79" i="1"/>
  <c r="B79" i="1"/>
  <c r="H78" i="1"/>
  <c r="F78" i="1"/>
  <c r="C78" i="1"/>
  <c r="B78" i="1"/>
  <c r="H77" i="1"/>
  <c r="F77" i="1"/>
  <c r="C77" i="1"/>
  <c r="B77" i="1"/>
  <c r="H76" i="1"/>
  <c r="F76" i="1"/>
  <c r="C76" i="1"/>
  <c r="B76" i="1"/>
  <c r="H75" i="1"/>
  <c r="F75" i="1"/>
  <c r="C75" i="1"/>
  <c r="B75" i="1"/>
  <c r="H74" i="1"/>
  <c r="F74" i="1"/>
  <c r="C74" i="1"/>
  <c r="B74" i="1"/>
  <c r="H73" i="1"/>
  <c r="F73" i="1"/>
  <c r="C73" i="1"/>
  <c r="B73" i="1"/>
  <c r="H72" i="1"/>
  <c r="F72" i="1"/>
  <c r="C72" i="1"/>
  <c r="B72" i="1"/>
  <c r="H71" i="1"/>
  <c r="F71" i="1"/>
  <c r="C71" i="1"/>
  <c r="B71" i="1"/>
  <c r="H70" i="1"/>
  <c r="F70" i="1"/>
  <c r="C70" i="1"/>
  <c r="B70" i="1"/>
  <c r="H69" i="1"/>
  <c r="F69" i="1"/>
  <c r="C69" i="1"/>
  <c r="B69" i="1"/>
  <c r="H68" i="1"/>
  <c r="F68" i="1"/>
  <c r="C68" i="1"/>
  <c r="B68" i="1"/>
  <c r="H67" i="1"/>
  <c r="F67" i="1"/>
  <c r="C67" i="1"/>
  <c r="B67" i="1"/>
  <c r="H66" i="1"/>
  <c r="F66" i="1"/>
  <c r="C66" i="1"/>
  <c r="B66" i="1"/>
  <c r="H65" i="1"/>
  <c r="F65" i="1"/>
  <c r="C65" i="1"/>
  <c r="B65" i="1"/>
  <c r="H64" i="1"/>
  <c r="F64" i="1"/>
  <c r="C64" i="1"/>
  <c r="B64" i="1"/>
  <c r="H63" i="1"/>
  <c r="F63" i="1"/>
  <c r="C63" i="1"/>
  <c r="B63" i="1"/>
  <c r="H62" i="1"/>
  <c r="F62" i="1"/>
  <c r="C62" i="1"/>
  <c r="B62" i="1"/>
  <c r="H61" i="1"/>
  <c r="F61" i="1"/>
  <c r="C61" i="1"/>
  <c r="B61" i="1"/>
  <c r="H60" i="1"/>
  <c r="F60" i="1"/>
  <c r="C60" i="1"/>
  <c r="B60" i="1"/>
  <c r="H59" i="1"/>
  <c r="F59" i="1"/>
  <c r="C59" i="1"/>
  <c r="B59" i="1"/>
  <c r="H58" i="1"/>
  <c r="F58" i="1"/>
  <c r="C58" i="1"/>
  <c r="B58" i="1"/>
  <c r="H57" i="1"/>
  <c r="F57" i="1"/>
  <c r="C57" i="1"/>
  <c r="B57" i="1"/>
  <c r="H56" i="1"/>
  <c r="F56" i="1"/>
  <c r="C56" i="1"/>
  <c r="B56" i="1"/>
  <c r="H55" i="1"/>
  <c r="F55" i="1"/>
  <c r="C55" i="1"/>
  <c r="B55" i="1"/>
  <c r="H54" i="1"/>
  <c r="F54" i="1"/>
  <c r="C54" i="1"/>
  <c r="B54" i="1"/>
  <c r="H53" i="1"/>
  <c r="F53" i="1"/>
  <c r="C53" i="1"/>
  <c r="B53" i="1"/>
  <c r="H52" i="1"/>
  <c r="F52" i="1"/>
  <c r="C52" i="1"/>
  <c r="B52" i="1"/>
  <c r="H51" i="1"/>
  <c r="F51" i="1"/>
  <c r="C51" i="1"/>
  <c r="B51" i="1"/>
  <c r="H50" i="1"/>
  <c r="F50" i="1"/>
  <c r="C50" i="1"/>
  <c r="B50" i="1"/>
  <c r="H49" i="1"/>
  <c r="F49" i="1"/>
  <c r="C49" i="1"/>
  <c r="B49" i="1"/>
  <c r="H48" i="1"/>
  <c r="F48" i="1"/>
  <c r="C48" i="1"/>
  <c r="B48" i="1"/>
  <c r="H47" i="1"/>
  <c r="F47" i="1"/>
  <c r="C47" i="1"/>
  <c r="B47" i="1"/>
  <c r="H46" i="1"/>
  <c r="F46" i="1"/>
  <c r="C46" i="1"/>
  <c r="B46" i="1"/>
  <c r="H45" i="1"/>
  <c r="F45" i="1"/>
  <c r="C45" i="1"/>
  <c r="B45" i="1"/>
  <c r="H44" i="1"/>
  <c r="F44" i="1"/>
  <c r="C44" i="1"/>
  <c r="B44" i="1"/>
  <c r="H43" i="1"/>
  <c r="F43" i="1"/>
  <c r="C43" i="1"/>
  <c r="B43" i="1"/>
  <c r="H42" i="1"/>
  <c r="F42" i="1"/>
  <c r="C42" i="1"/>
  <c r="B42" i="1"/>
  <c r="H41" i="1"/>
  <c r="F41" i="1"/>
  <c r="C41" i="1"/>
  <c r="B41" i="1"/>
  <c r="H40" i="1"/>
  <c r="F40" i="1"/>
  <c r="C40" i="1"/>
  <c r="B40" i="1"/>
  <c r="H39" i="1"/>
  <c r="F39" i="1"/>
  <c r="C39" i="1"/>
  <c r="B39" i="1"/>
  <c r="H38" i="1"/>
  <c r="F38" i="1"/>
  <c r="C38" i="1"/>
  <c r="B38" i="1"/>
  <c r="H37" i="1"/>
  <c r="F37" i="1"/>
  <c r="C37" i="1"/>
  <c r="B37" i="1"/>
  <c r="H36" i="1"/>
  <c r="F36" i="1"/>
  <c r="C36" i="1"/>
  <c r="B36" i="1"/>
  <c r="H35" i="1"/>
  <c r="F35" i="1"/>
  <c r="C35" i="1"/>
  <c r="B35" i="1"/>
  <c r="H34" i="1"/>
  <c r="F34" i="1"/>
  <c r="C34" i="1"/>
  <c r="B34" i="1"/>
  <c r="H33" i="1"/>
  <c r="F33" i="1"/>
  <c r="C33" i="1"/>
  <c r="B33" i="1"/>
  <c r="H32" i="1"/>
  <c r="F32" i="1"/>
  <c r="C32" i="1"/>
  <c r="B32" i="1"/>
  <c r="H31" i="1"/>
  <c r="F31" i="1"/>
  <c r="C31" i="1"/>
  <c r="B31" i="1"/>
  <c r="H30" i="1"/>
  <c r="F30" i="1"/>
  <c r="C30" i="1"/>
  <c r="B30" i="1"/>
  <c r="H29" i="1"/>
  <c r="F29" i="1"/>
  <c r="C29" i="1"/>
  <c r="B29" i="1"/>
  <c r="H28" i="1"/>
  <c r="F28" i="1"/>
  <c r="C28" i="1"/>
  <c r="B28" i="1"/>
  <c r="H27" i="1"/>
  <c r="F27" i="1"/>
  <c r="C27" i="1"/>
  <c r="B27" i="1"/>
  <c r="H26" i="1"/>
  <c r="F26" i="1"/>
  <c r="C26" i="1"/>
  <c r="B26" i="1"/>
  <c r="H25" i="1"/>
  <c r="F25" i="1"/>
  <c r="C25" i="1"/>
  <c r="B25" i="1"/>
  <c r="H24" i="1"/>
  <c r="F24" i="1"/>
  <c r="C24" i="1"/>
  <c r="B24" i="1"/>
  <c r="H23" i="1"/>
  <c r="F23" i="1"/>
  <c r="C23" i="1"/>
  <c r="B23" i="1"/>
  <c r="H22" i="1"/>
  <c r="F22" i="1"/>
  <c r="C22" i="1"/>
  <c r="B22" i="1"/>
  <c r="H21" i="1"/>
  <c r="F21" i="1"/>
  <c r="C21" i="1"/>
  <c r="B21" i="1"/>
  <c r="H20" i="1"/>
  <c r="F20" i="1"/>
  <c r="C20" i="1"/>
  <c r="B20" i="1"/>
  <c r="H19" i="1"/>
  <c r="F19" i="1"/>
  <c r="C19" i="1"/>
  <c r="B19" i="1"/>
  <c r="H18" i="1"/>
  <c r="F18" i="1"/>
  <c r="C18" i="1"/>
  <c r="B18" i="1"/>
  <c r="H17" i="1"/>
  <c r="F17" i="1"/>
  <c r="C17" i="1"/>
  <c r="B17" i="1"/>
  <c r="H16" i="1"/>
  <c r="F16" i="1"/>
  <c r="C16" i="1"/>
  <c r="B16" i="1"/>
  <c r="H15" i="1"/>
  <c r="F15" i="1"/>
  <c r="C15" i="1"/>
  <c r="B15" i="1"/>
  <c r="H14" i="1"/>
  <c r="F14" i="1"/>
  <c r="C14" i="1"/>
  <c r="B14" i="1"/>
  <c r="H13" i="1"/>
  <c r="F13" i="1"/>
  <c r="C13" i="1"/>
  <c r="B13" i="1"/>
  <c r="H12" i="1"/>
  <c r="F12" i="1"/>
  <c r="C12" i="1"/>
  <c r="B12" i="1"/>
  <c r="H11" i="1"/>
  <c r="F11" i="1"/>
  <c r="C11" i="1"/>
  <c r="B11" i="1"/>
  <c r="H10" i="1"/>
  <c r="F10" i="1"/>
  <c r="C10" i="1"/>
  <c r="B10" i="1"/>
  <c r="H9" i="1"/>
  <c r="F9" i="1"/>
  <c r="C9" i="1"/>
  <c r="B9" i="1"/>
  <c r="H8" i="1"/>
  <c r="F8" i="1"/>
  <c r="C8" i="1"/>
  <c r="B8" i="1"/>
  <c r="H7" i="1"/>
  <c r="F7" i="1"/>
  <c r="C7" i="1"/>
  <c r="B7" i="1"/>
  <c r="H6" i="1"/>
  <c r="F6" i="1"/>
  <c r="C6" i="1"/>
  <c r="B6" i="1"/>
  <c r="H5" i="1"/>
  <c r="F5" i="1"/>
  <c r="C5" i="1"/>
  <c r="B5" i="1"/>
  <c r="H4" i="1"/>
  <c r="F4" i="1"/>
  <c r="C4" i="1"/>
  <c r="B4" i="1"/>
  <c r="H3" i="1"/>
  <c r="F3" i="1"/>
  <c r="C3" i="1"/>
  <c r="B3" i="1"/>
  <c r="H2" i="1"/>
  <c r="F2" i="1"/>
  <c r="B2" i="1"/>
  <c r="G100" i="6"/>
  <c r="A100" i="6"/>
  <c r="G99" i="6"/>
  <c r="A99" i="6"/>
  <c r="G98" i="6"/>
  <c r="A98" i="6"/>
  <c r="G97" i="6"/>
  <c r="A97" i="6"/>
  <c r="G96" i="6"/>
  <c r="A96" i="6"/>
  <c r="G95" i="6"/>
  <c r="A95" i="6"/>
  <c r="G94" i="6"/>
  <c r="A94" i="6"/>
  <c r="G93" i="6"/>
  <c r="A93" i="6"/>
  <c r="G92" i="6"/>
  <c r="A92" i="6"/>
  <c r="G91" i="6"/>
  <c r="A91" i="6"/>
  <c r="G90" i="6"/>
  <c r="A90" i="6"/>
  <c r="G89" i="6"/>
  <c r="A89" i="6"/>
  <c r="G88" i="6"/>
  <c r="A88" i="6"/>
  <c r="G87" i="6"/>
  <c r="A87" i="6"/>
  <c r="G86" i="6"/>
  <c r="A86" i="6"/>
  <c r="G85" i="6"/>
  <c r="A85" i="6"/>
  <c r="G84" i="6"/>
  <c r="A84" i="6"/>
  <c r="G83" i="6"/>
  <c r="A83" i="6"/>
  <c r="G82" i="6"/>
  <c r="A82" i="6"/>
  <c r="G81" i="6"/>
  <c r="A81" i="6"/>
  <c r="G80" i="6"/>
  <c r="A80" i="6"/>
  <c r="G79" i="6"/>
  <c r="A79" i="6"/>
  <c r="G78" i="6"/>
  <c r="A78" i="6"/>
  <c r="G77" i="6"/>
  <c r="A77" i="6"/>
  <c r="G76" i="6"/>
  <c r="A76" i="6"/>
  <c r="G75" i="6"/>
  <c r="A75" i="6"/>
  <c r="G74" i="6"/>
  <c r="A74" i="6"/>
  <c r="G73" i="6"/>
  <c r="A73" i="6"/>
  <c r="G72" i="6"/>
  <c r="A72" i="6"/>
  <c r="G71" i="6"/>
  <c r="A71" i="6"/>
  <c r="G70" i="6"/>
  <c r="A70" i="6"/>
  <c r="G69" i="6"/>
  <c r="A69" i="6"/>
  <c r="G68" i="6"/>
  <c r="A68" i="6"/>
  <c r="G67" i="6"/>
  <c r="A67" i="6"/>
  <c r="G66" i="6"/>
  <c r="A66" i="6"/>
  <c r="G65" i="6"/>
  <c r="A65" i="6"/>
  <c r="G64" i="6"/>
  <c r="A64" i="6"/>
  <c r="G63" i="6"/>
  <c r="A63" i="6"/>
  <c r="G62" i="6"/>
  <c r="A62" i="6"/>
  <c r="G61" i="6"/>
  <c r="A61" i="6"/>
  <c r="G60" i="6"/>
  <c r="A60" i="6"/>
  <c r="G59" i="6"/>
  <c r="A59" i="6"/>
  <c r="G58" i="6"/>
  <c r="A58" i="6"/>
  <c r="G57" i="6"/>
  <c r="A57" i="6"/>
  <c r="G56" i="6"/>
  <c r="A56" i="6"/>
  <c r="G55" i="6"/>
  <c r="A55" i="6"/>
  <c r="G54" i="6"/>
  <c r="A54" i="6"/>
  <c r="G53" i="6"/>
  <c r="A53" i="6"/>
  <c r="G52" i="6"/>
  <c r="A52" i="6"/>
  <c r="G51" i="6"/>
  <c r="A51" i="6"/>
  <c r="G50" i="6"/>
  <c r="A50" i="6"/>
  <c r="G49" i="6"/>
  <c r="A49" i="6"/>
  <c r="G48" i="6"/>
  <c r="A48" i="6"/>
  <c r="G47" i="6"/>
  <c r="A47" i="6"/>
  <c r="G46" i="6"/>
  <c r="A46" i="6"/>
  <c r="G45" i="6"/>
  <c r="A45" i="6"/>
  <c r="G44" i="6"/>
  <c r="A44" i="6"/>
  <c r="G43" i="6"/>
  <c r="A43" i="6"/>
  <c r="G42" i="6"/>
  <c r="A42" i="6"/>
  <c r="G41" i="6"/>
  <c r="A41" i="6"/>
  <c r="G40" i="6"/>
  <c r="A40" i="6"/>
  <c r="G39" i="6"/>
  <c r="A39" i="6"/>
  <c r="G38" i="6"/>
  <c r="A38" i="6"/>
  <c r="G37" i="6"/>
  <c r="A37" i="6"/>
  <c r="G36" i="6"/>
  <c r="A36" i="6"/>
  <c r="G35" i="6"/>
  <c r="A35" i="6"/>
  <c r="G34" i="6"/>
  <c r="A34" i="6"/>
  <c r="G33" i="6"/>
  <c r="A33" i="6"/>
  <c r="G32" i="6"/>
  <c r="A32" i="6"/>
  <c r="G31" i="6"/>
  <c r="A31" i="6"/>
  <c r="G30" i="6"/>
  <c r="A30" i="6"/>
  <c r="G29" i="6"/>
  <c r="A29" i="6"/>
  <c r="G28" i="6"/>
  <c r="A28" i="6"/>
  <c r="G27" i="6"/>
  <c r="A27" i="6"/>
  <c r="G26" i="6"/>
  <c r="A26" i="6"/>
  <c r="G25" i="6"/>
  <c r="A25" i="6"/>
  <c r="G24" i="6"/>
  <c r="A24" i="6"/>
  <c r="G23" i="6"/>
  <c r="A23" i="6"/>
  <c r="G22" i="6"/>
  <c r="A22" i="6"/>
  <c r="G21" i="6"/>
  <c r="A21" i="6"/>
  <c r="G20" i="6"/>
  <c r="A20" i="6"/>
  <c r="G19" i="6"/>
  <c r="A19" i="6"/>
  <c r="G18" i="6"/>
  <c r="A18" i="6"/>
  <c r="G17" i="6"/>
  <c r="A17" i="6"/>
  <c r="G16" i="6"/>
  <c r="A16" i="6"/>
  <c r="G15" i="6"/>
  <c r="A15" i="6"/>
  <c r="G14" i="6"/>
  <c r="A14" i="6"/>
  <c r="G13" i="6"/>
  <c r="A13" i="6"/>
  <c r="G12" i="6"/>
  <c r="A12" i="6"/>
  <c r="G11" i="6"/>
  <c r="A11" i="6"/>
  <c r="G10" i="6"/>
  <c r="A10" i="6"/>
  <c r="G9" i="6"/>
  <c r="A9" i="6"/>
  <c r="G8" i="6"/>
  <c r="A8" i="6"/>
  <c r="G7" i="6"/>
  <c r="A7" i="6"/>
  <c r="G6" i="6"/>
  <c r="A6" i="6"/>
  <c r="G5" i="6"/>
  <c r="A5" i="6"/>
  <c r="G4" i="6"/>
  <c r="A4" i="6"/>
  <c r="G3" i="6"/>
  <c r="A3" i="6"/>
  <c r="A2" i="6"/>
  <c r="G100" i="5"/>
  <c r="A100" i="5"/>
  <c r="G99" i="5"/>
  <c r="A99" i="5"/>
  <c r="G98" i="5"/>
  <c r="A98" i="5"/>
  <c r="G97" i="5"/>
  <c r="A97" i="5"/>
  <c r="G96" i="5"/>
  <c r="A96" i="5"/>
  <c r="G95" i="5"/>
  <c r="A95" i="5"/>
  <c r="G94" i="5"/>
  <c r="A94" i="5"/>
  <c r="G93" i="5"/>
  <c r="A93" i="5"/>
  <c r="G92" i="5"/>
  <c r="A92" i="5"/>
  <c r="G91" i="5"/>
  <c r="A91" i="5"/>
  <c r="G90" i="5"/>
  <c r="A90" i="5"/>
  <c r="G89" i="5"/>
  <c r="A89" i="5"/>
  <c r="G88" i="5"/>
  <c r="A88" i="5"/>
  <c r="G87" i="5"/>
  <c r="A87" i="5"/>
  <c r="G86" i="5"/>
  <c r="A86" i="5"/>
  <c r="G85" i="5"/>
  <c r="A85" i="5"/>
  <c r="G84" i="5"/>
  <c r="A84" i="5"/>
  <c r="G83" i="5"/>
  <c r="A83" i="5"/>
  <c r="G82" i="5"/>
  <c r="A82" i="5"/>
  <c r="G81" i="5"/>
  <c r="A81" i="5"/>
  <c r="G80" i="5"/>
  <c r="A80" i="5"/>
  <c r="G79" i="5"/>
  <c r="A79" i="5"/>
  <c r="G78" i="5"/>
  <c r="A78" i="5"/>
  <c r="G77" i="5"/>
  <c r="A77" i="5"/>
  <c r="G76" i="5"/>
  <c r="A76" i="5"/>
  <c r="G75" i="5"/>
  <c r="A75" i="5"/>
  <c r="G74" i="5"/>
  <c r="A74" i="5"/>
  <c r="G73" i="5"/>
  <c r="A73" i="5"/>
  <c r="G72" i="5"/>
  <c r="A72" i="5"/>
  <c r="G71" i="5"/>
  <c r="A71" i="5"/>
  <c r="G70" i="5"/>
  <c r="A70" i="5"/>
  <c r="G69" i="5"/>
  <c r="A69" i="5"/>
  <c r="G68" i="5"/>
  <c r="A68" i="5"/>
  <c r="G67" i="5"/>
  <c r="A67" i="5"/>
  <c r="G66" i="5"/>
  <c r="A66" i="5"/>
  <c r="G65" i="5"/>
  <c r="A65" i="5"/>
  <c r="G64" i="5"/>
  <c r="A64" i="5"/>
  <c r="G63" i="5"/>
  <c r="A63" i="5"/>
  <c r="G62" i="5"/>
  <c r="A62" i="5"/>
  <c r="G61" i="5"/>
  <c r="A61" i="5"/>
  <c r="G60" i="5"/>
  <c r="A60" i="5"/>
  <c r="G59" i="5"/>
  <c r="A59" i="5"/>
  <c r="G58" i="5"/>
  <c r="A58" i="5"/>
  <c r="G57" i="5"/>
  <c r="A57" i="5"/>
  <c r="G56" i="5"/>
  <c r="A56" i="5"/>
  <c r="G55" i="5"/>
  <c r="A55" i="5"/>
  <c r="G54" i="5"/>
  <c r="A54" i="5"/>
  <c r="G53" i="5"/>
  <c r="A53" i="5"/>
  <c r="G52" i="5"/>
  <c r="A52" i="5"/>
  <c r="G51" i="5"/>
  <c r="A51" i="5"/>
  <c r="G50" i="5"/>
  <c r="A50" i="5"/>
  <c r="G49" i="5"/>
  <c r="A49" i="5"/>
  <c r="G48" i="5"/>
  <c r="A48" i="5"/>
  <c r="G47" i="5"/>
  <c r="A47" i="5"/>
  <c r="G46" i="5"/>
  <c r="A46" i="5"/>
  <c r="G45" i="5"/>
  <c r="A45" i="5"/>
  <c r="G44" i="5"/>
  <c r="A44" i="5"/>
  <c r="G43" i="5"/>
  <c r="A43" i="5"/>
  <c r="G42" i="5"/>
  <c r="A42" i="5"/>
  <c r="G41" i="5"/>
  <c r="A41" i="5"/>
  <c r="G40" i="5"/>
  <c r="A40" i="5"/>
  <c r="G39" i="5"/>
  <c r="A39" i="5"/>
  <c r="G38" i="5"/>
  <c r="A38" i="5"/>
  <c r="G37" i="5"/>
  <c r="A37" i="5"/>
  <c r="G36" i="5"/>
  <c r="A36" i="5"/>
  <c r="G35" i="5"/>
  <c r="A35" i="5"/>
  <c r="G34" i="5"/>
  <c r="A34" i="5"/>
  <c r="G33" i="5"/>
  <c r="A33" i="5"/>
  <c r="G32" i="5"/>
  <c r="A32" i="5"/>
  <c r="G31" i="5"/>
  <c r="A31" i="5"/>
  <c r="G30" i="5"/>
  <c r="A30" i="5"/>
  <c r="G29" i="5"/>
  <c r="A29" i="5"/>
  <c r="G28" i="5"/>
  <c r="A28" i="5"/>
  <c r="G27" i="5"/>
  <c r="A27" i="5"/>
  <c r="G26" i="5"/>
  <c r="A26" i="5"/>
  <c r="G25" i="5"/>
  <c r="A25" i="5"/>
  <c r="G24" i="5"/>
  <c r="A24" i="5"/>
  <c r="G23" i="5"/>
  <c r="A23" i="5"/>
  <c r="G22" i="5"/>
  <c r="A22" i="5"/>
  <c r="G21" i="5"/>
  <c r="A21" i="5"/>
  <c r="G20" i="5"/>
  <c r="A20" i="5"/>
  <c r="G19" i="5"/>
  <c r="A19" i="5"/>
  <c r="G18" i="5"/>
  <c r="A18" i="5"/>
  <c r="G17" i="5"/>
  <c r="A17" i="5"/>
  <c r="G16" i="5"/>
  <c r="A16" i="5"/>
  <c r="G15" i="5"/>
  <c r="A15" i="5"/>
  <c r="G14" i="5"/>
  <c r="A14" i="5"/>
  <c r="G13" i="5"/>
  <c r="A13" i="5"/>
  <c r="G12" i="5"/>
  <c r="A12" i="5"/>
  <c r="G11" i="5"/>
  <c r="A11" i="5"/>
  <c r="G10" i="5"/>
  <c r="A10" i="5"/>
  <c r="G9" i="5"/>
  <c r="A9" i="5"/>
  <c r="G8" i="5"/>
  <c r="A8" i="5"/>
  <c r="G7" i="5"/>
  <c r="A7" i="5"/>
  <c r="G6" i="5"/>
  <c r="A6" i="5"/>
  <c r="G5" i="5"/>
  <c r="A5" i="5"/>
  <c r="G4" i="5"/>
  <c r="A4" i="5"/>
  <c r="G3" i="5"/>
  <c r="A3" i="5"/>
  <c r="A2" i="5"/>
  <c r="G100" i="3" l="1"/>
  <c r="A100" i="3"/>
  <c r="G99" i="3"/>
  <c r="A99" i="3"/>
  <c r="G98" i="3"/>
  <c r="A98" i="3"/>
  <c r="G97" i="3"/>
  <c r="A97" i="3"/>
  <c r="G96" i="3"/>
  <c r="A96" i="3"/>
  <c r="G95" i="3"/>
  <c r="A95" i="3"/>
  <c r="G94" i="3"/>
  <c r="A94" i="3"/>
  <c r="G93" i="3"/>
  <c r="A93" i="3"/>
  <c r="G92" i="3"/>
  <c r="A92" i="3"/>
  <c r="G91" i="3"/>
  <c r="A91" i="3"/>
  <c r="G90" i="3"/>
  <c r="A90" i="3"/>
  <c r="G89" i="3"/>
  <c r="A89" i="3"/>
  <c r="G88" i="3"/>
  <c r="A88" i="3"/>
  <c r="G87" i="3"/>
  <c r="A87" i="3"/>
  <c r="G86" i="3"/>
  <c r="A86" i="3"/>
  <c r="G85" i="3"/>
  <c r="A85" i="3"/>
  <c r="G84" i="3"/>
  <c r="A84" i="3"/>
  <c r="G83" i="3"/>
  <c r="A83" i="3"/>
  <c r="G82" i="3"/>
  <c r="A82" i="3"/>
  <c r="G81" i="3"/>
  <c r="A81" i="3"/>
  <c r="G80" i="3"/>
  <c r="A80" i="3"/>
  <c r="G79" i="3"/>
  <c r="A79" i="3"/>
  <c r="G78" i="3"/>
  <c r="A78" i="3"/>
  <c r="G77" i="3"/>
  <c r="A77" i="3"/>
  <c r="G76" i="3"/>
  <c r="A76" i="3"/>
  <c r="G75" i="3"/>
  <c r="A75" i="3"/>
  <c r="G74" i="3"/>
  <c r="A74" i="3"/>
  <c r="G73" i="3"/>
  <c r="A73" i="3"/>
  <c r="G72" i="3"/>
  <c r="A72" i="3"/>
  <c r="G71" i="3"/>
  <c r="A71" i="3"/>
  <c r="G70" i="3"/>
  <c r="A70" i="3"/>
  <c r="G69" i="3"/>
  <c r="A69" i="3"/>
  <c r="G68" i="3"/>
  <c r="A68" i="3"/>
  <c r="G67" i="3"/>
  <c r="A67" i="3"/>
  <c r="G66" i="3"/>
  <c r="A66" i="3"/>
  <c r="G65" i="3"/>
  <c r="A65" i="3"/>
  <c r="G64" i="3"/>
  <c r="A64" i="3"/>
  <c r="G63" i="3"/>
  <c r="A63" i="3"/>
  <c r="G62" i="3"/>
  <c r="A62" i="3"/>
  <c r="G61" i="3"/>
  <c r="A61" i="3"/>
  <c r="G60" i="3"/>
  <c r="A60" i="3"/>
  <c r="G59" i="3"/>
  <c r="A59" i="3"/>
  <c r="G58" i="3"/>
  <c r="A58" i="3"/>
  <c r="G57" i="3"/>
  <c r="A57" i="3"/>
  <c r="G56" i="3"/>
  <c r="A56" i="3"/>
  <c r="G55" i="3"/>
  <c r="A55" i="3"/>
  <c r="G54" i="3"/>
  <c r="A54" i="3"/>
  <c r="G53" i="3"/>
  <c r="A53" i="3"/>
  <c r="G52" i="3"/>
  <c r="A52" i="3"/>
  <c r="G51" i="3"/>
  <c r="A51" i="3"/>
  <c r="G50" i="3"/>
  <c r="A50" i="3"/>
  <c r="G49" i="3"/>
  <c r="A49" i="3"/>
  <c r="G48" i="3"/>
  <c r="A48" i="3"/>
  <c r="G47" i="3"/>
  <c r="A47" i="3"/>
  <c r="G46" i="3"/>
  <c r="A46" i="3"/>
  <c r="G45" i="3"/>
  <c r="A45" i="3"/>
  <c r="G44" i="3"/>
  <c r="A44" i="3"/>
  <c r="G43" i="3"/>
  <c r="A43" i="3"/>
  <c r="G42" i="3"/>
  <c r="A42" i="3"/>
  <c r="G41" i="3"/>
  <c r="A41" i="3"/>
  <c r="G40" i="3"/>
  <c r="A40" i="3"/>
  <c r="G39" i="3"/>
  <c r="A39" i="3"/>
  <c r="G38" i="3"/>
  <c r="A38" i="3"/>
  <c r="G37" i="3"/>
  <c r="A37" i="3"/>
  <c r="G36" i="3"/>
  <c r="A36" i="3"/>
  <c r="G35" i="3"/>
  <c r="A35" i="3"/>
  <c r="G34" i="3"/>
  <c r="A34" i="3"/>
  <c r="G33" i="3"/>
  <c r="A33" i="3"/>
  <c r="G32" i="3"/>
  <c r="A32" i="3"/>
  <c r="G31" i="3"/>
  <c r="A31" i="3"/>
  <c r="G30" i="3"/>
  <c r="A30" i="3"/>
  <c r="G29" i="3"/>
  <c r="A29" i="3"/>
  <c r="G28" i="3"/>
  <c r="A28" i="3"/>
  <c r="G27" i="3"/>
  <c r="A27" i="3"/>
  <c r="G26" i="3"/>
  <c r="A26" i="3"/>
  <c r="G25" i="3"/>
  <c r="A25" i="3"/>
  <c r="G24" i="3"/>
  <c r="A24" i="3"/>
  <c r="G23" i="3"/>
  <c r="A23" i="3"/>
  <c r="G22" i="3"/>
  <c r="A22" i="3"/>
  <c r="G21" i="3"/>
  <c r="A21" i="3"/>
  <c r="G20" i="3"/>
  <c r="A20" i="3"/>
  <c r="G19" i="3"/>
  <c r="A19" i="3"/>
  <c r="G18" i="3"/>
  <c r="A18" i="3"/>
  <c r="G17" i="3"/>
  <c r="A17" i="3"/>
  <c r="G16" i="3"/>
  <c r="A16" i="3"/>
  <c r="G15" i="3"/>
  <c r="A15" i="3"/>
  <c r="G14" i="3"/>
  <c r="A14" i="3"/>
  <c r="G13" i="3"/>
  <c r="A13" i="3"/>
  <c r="G12" i="3"/>
  <c r="A12" i="3"/>
  <c r="G11" i="3"/>
  <c r="A11" i="3"/>
  <c r="G10" i="3"/>
  <c r="A10" i="3"/>
  <c r="G9" i="3"/>
  <c r="A9" i="3"/>
  <c r="G8" i="3"/>
  <c r="A8" i="3"/>
  <c r="G7" i="3"/>
  <c r="A7" i="3"/>
  <c r="G6" i="3"/>
  <c r="A6" i="3"/>
  <c r="G5" i="3"/>
  <c r="A5" i="3"/>
  <c r="G4" i="3"/>
  <c r="A4" i="3"/>
  <c r="G3" i="3"/>
  <c r="A3" i="3"/>
  <c r="A2" i="3"/>
</calcChain>
</file>

<file path=xl/sharedStrings.xml><?xml version="1.0" encoding="utf-8"?>
<sst xmlns="http://schemas.openxmlformats.org/spreadsheetml/2006/main" count="856" uniqueCount="425">
  <si>
    <t>№</t>
  </si>
  <si>
    <t>問題</t>
  </si>
  <si>
    <t>解答</t>
  </si>
  <si>
    <t>設問画像</t>
  </si>
  <si>
    <t>解答画像</t>
  </si>
  <si>
    <t>解説</t>
  </si>
  <si>
    <t>科目名</t>
  </si>
  <si>
    <t>タグ（論点）</t>
  </si>
  <si>
    <t>キーワード</t>
  </si>
  <si>
    <t>作成中</t>
  </si>
  <si>
    <t>計算書類は？</t>
  </si>
  <si>
    <t>B/S、P/L、株主資本等変動計画書、個別注記表</t>
  </si>
  <si>
    <t>第２章財務諸表概論</t>
  </si>
  <si>
    <t>財務諸表は？</t>
  </si>
  <si>
    <t>B/S、P/L、株主資本等変動計画書、キャッシュフロー計算書、附属明細表</t>
  </si>
  <si>
    <t>image/out_1080x1350/zaimu_q02.png</t>
  </si>
  <si>
    <t>CF計算書の種類</t>
  </si>
  <si>
    <t>営業CF、投資CF、財務CF</t>
  </si>
  <si>
    <t>B/S、P/L、C/Fの経営分析における意義は？</t>
  </si>
  <si>
    <t>安全性、効率性、収益性</t>
  </si>
  <si>
    <t>source_sheet</t>
  </si>
  <si>
    <t>question_no</t>
  </si>
  <si>
    <t>question</t>
  </si>
  <si>
    <t>answer</t>
  </si>
  <si>
    <t>question_image_path</t>
  </si>
  <si>
    <t>answer_image_path</t>
  </si>
  <si>
    <t>image_path</t>
  </si>
  <si>
    <t>explanation</t>
  </si>
  <si>
    <t>subject</t>
  </si>
  <si>
    <t>tags</t>
  </si>
  <si>
    <t>keywords</t>
  </si>
  <si>
    <t>mistakes</t>
  </si>
  <si>
    <t>consecutive_ok</t>
  </si>
  <si>
    <t>last_miss</t>
  </si>
  <si>
    <t>last_ok</t>
  </si>
  <si>
    <t>シート名</t>
  </si>
  <si>
    <t>正解</t>
  </si>
  <si>
    <t>タグ</t>
  </si>
  <si>
    <t>検索キーワード</t>
  </si>
  <si>
    <t>間違い回数</t>
  </si>
  <si>
    <t>連続正解回数</t>
  </si>
  <si>
    <t>最終不正解日</t>
  </si>
  <si>
    <t>最終正解日</t>
  </si>
  <si>
    <t>財務会計</t>
  </si>
  <si>
    <t>2</t>
  </si>
  <si>
    <t>2026-03-04 13:20:51</t>
  </si>
  <si>
    <t>2026-03-04 13:30:12</t>
  </si>
  <si>
    <t>4</t>
  </si>
  <si>
    <t>2026-03-04 13:31:05</t>
  </si>
  <si>
    <t>5</t>
  </si>
  <si>
    <t>2026-03-04 13:31:30</t>
  </si>
  <si>
    <t>1.0</t>
  </si>
  <si>
    <t>2026-03-06 17:34:41</t>
  </si>
  <si>
    <t>宅地の定義</t>
  </si>
  <si>
    <t>宅建業の定義</t>
  </si>
  <si>
    <t>免許制度</t>
  </si>
  <si>
    <t>5年</t>
  </si>
  <si>
    <t>カードNo</t>
  </si>
  <si>
    <t>論点</t>
  </si>
  <si>
    <t>Q001</t>
  </si>
  <si>
    <t>Q002</t>
  </si>
  <si>
    <t>Q003</t>
  </si>
  <si>
    <t>Q004</t>
  </si>
  <si>
    <t>Q005</t>
  </si>
  <si>
    <t>Q006</t>
  </si>
  <si>
    <t>Q007</t>
  </si>
  <si>
    <t>Q008</t>
  </si>
  <si>
    <t>Q009</t>
  </si>
  <si>
    <t>Q010</t>
  </si>
  <si>
    <t>Q011</t>
  </si>
  <si>
    <t>Q012</t>
  </si>
  <si>
    <t>Q013</t>
  </si>
  <si>
    <t>Q014</t>
  </si>
  <si>
    <t>Q015</t>
  </si>
  <si>
    <t>Q016</t>
  </si>
  <si>
    <t>Q017</t>
  </si>
  <si>
    <t>Q018</t>
  </si>
  <si>
    <t>Q019</t>
  </si>
  <si>
    <t>Q020</t>
  </si>
  <si>
    <t>Q021</t>
  </si>
  <si>
    <t>Q022</t>
  </si>
  <si>
    <t>Q023</t>
  </si>
  <si>
    <t>Q024</t>
  </si>
  <si>
    <t>Q025</t>
  </si>
  <si>
    <t>Q026</t>
  </si>
  <si>
    <t>Q027</t>
  </si>
  <si>
    <t>Q028</t>
  </si>
  <si>
    <t>Q029</t>
  </si>
  <si>
    <t>Q030</t>
  </si>
  <si>
    <t>Q031</t>
  </si>
  <si>
    <t>Q032</t>
  </si>
  <si>
    <t>Q033</t>
  </si>
  <si>
    <t>Q034</t>
  </si>
  <si>
    <t>Q035</t>
  </si>
  <si>
    <t>Q036</t>
  </si>
  <si>
    <t>Q037</t>
  </si>
  <si>
    <t>Q038</t>
  </si>
  <si>
    <t>Q039</t>
  </si>
  <si>
    <t>Q040</t>
  </si>
  <si>
    <t>Q041</t>
  </si>
  <si>
    <t>営業保証金</t>
  </si>
  <si>
    <t>Q042</t>
  </si>
  <si>
    <t>Q043</t>
  </si>
  <si>
    <t>Q044</t>
  </si>
  <si>
    <t>Q045</t>
  </si>
  <si>
    <t>Q046</t>
  </si>
  <si>
    <t>Q047</t>
  </si>
  <si>
    <t>Q048</t>
  </si>
  <si>
    <t>Q049</t>
  </si>
  <si>
    <t>Q050</t>
  </si>
  <si>
    <t>Q051</t>
  </si>
  <si>
    <t>保証協会</t>
  </si>
  <si>
    <t>Q052</t>
  </si>
  <si>
    <t>Q053</t>
  </si>
  <si>
    <t>Q054</t>
  </si>
  <si>
    <t>Q055</t>
  </si>
  <si>
    <t>Q056</t>
  </si>
  <si>
    <t>Q057</t>
  </si>
  <si>
    <t>Q058</t>
  </si>
  <si>
    <t>Q059</t>
  </si>
  <si>
    <t>Q060</t>
  </si>
  <si>
    <t>Q061</t>
  </si>
  <si>
    <t>35条書面</t>
  </si>
  <si>
    <t>Q062</t>
  </si>
  <si>
    <t>Q063</t>
  </si>
  <si>
    <t>Q064</t>
  </si>
  <si>
    <t>Q065</t>
  </si>
  <si>
    <t>Q066</t>
  </si>
  <si>
    <t>Q067</t>
  </si>
  <si>
    <t>Q068</t>
  </si>
  <si>
    <t>Q069</t>
  </si>
  <si>
    <t>Q070</t>
  </si>
  <si>
    <t>Q071</t>
  </si>
  <si>
    <t>37条書面</t>
  </si>
  <si>
    <t>Q072</t>
  </si>
  <si>
    <t>Q073</t>
  </si>
  <si>
    <t>Q074</t>
  </si>
  <si>
    <t>Q075</t>
  </si>
  <si>
    <t>Q076</t>
  </si>
  <si>
    <t>Q077</t>
  </si>
  <si>
    <t>Q078</t>
  </si>
  <si>
    <t>Q079</t>
  </si>
  <si>
    <t>Q080</t>
  </si>
  <si>
    <t>Q081</t>
  </si>
  <si>
    <t>8種規制</t>
  </si>
  <si>
    <t>Q082</t>
  </si>
  <si>
    <t>Q083</t>
  </si>
  <si>
    <t>Q084</t>
  </si>
  <si>
    <t>Q085</t>
  </si>
  <si>
    <t>Q086</t>
  </si>
  <si>
    <t>Q087</t>
  </si>
  <si>
    <t>Q088</t>
  </si>
  <si>
    <t>Q089</t>
  </si>
  <si>
    <t>Q090</t>
  </si>
  <si>
    <t>Q091</t>
  </si>
  <si>
    <t>広告規制</t>
  </si>
  <si>
    <t>Q092</t>
  </si>
  <si>
    <t>Q093</t>
  </si>
  <si>
    <t>Q094</t>
  </si>
  <si>
    <t>Q095</t>
  </si>
  <si>
    <t>Q096</t>
  </si>
  <si>
    <t>Q097</t>
  </si>
  <si>
    <t>Q098</t>
  </si>
  <si>
    <t>Q099</t>
  </si>
  <si>
    <t>Q100</t>
  </si>
  <si>
    <t>Q101</t>
  </si>
  <si>
    <t>媒介契約</t>
  </si>
  <si>
    <t>Q102</t>
  </si>
  <si>
    <t>Q103</t>
  </si>
  <si>
    <t>Q104</t>
  </si>
  <si>
    <t>Q105</t>
  </si>
  <si>
    <t>Q106</t>
  </si>
  <si>
    <t>Q107</t>
  </si>
  <si>
    <t>Q108</t>
  </si>
  <si>
    <t>Q109</t>
  </si>
  <si>
    <t>Q110</t>
  </si>
  <si>
    <t>Q111</t>
  </si>
  <si>
    <t>監督処分</t>
  </si>
  <si>
    <t>Q112</t>
  </si>
  <si>
    <t>Q113</t>
  </si>
  <si>
    <t>Q114</t>
  </si>
  <si>
    <t>Q115</t>
  </si>
  <si>
    <t>Q116</t>
  </si>
  <si>
    <t>Q117</t>
  </si>
  <si>
    <t>Q118</t>
  </si>
  <si>
    <t>Q119</t>
  </si>
  <si>
    <t>Q120</t>
  </si>
  <si>
    <t>Q121</t>
  </si>
  <si>
    <t>罰則</t>
  </si>
  <si>
    <t>Q122</t>
  </si>
  <si>
    <t>Q123</t>
  </si>
  <si>
    <t>Q124</t>
  </si>
  <si>
    <t>Q125</t>
  </si>
  <si>
    <t>○</t>
  </si>
  <si>
    <t>×</t>
  </si>
  <si>
    <t>道路は宅地に該当する</t>
  </si>
  <si>
    <t>貸借は宅建業に含まれない</t>
  </si>
  <si>
    <t>宅建業免許の有効期間は5年である</t>
  </si>
  <si>
    <t>宅建士</t>
  </si>
  <si>
    <t>宅建士証の有効期間は5年である</t>
  </si>
  <si>
    <t>重要事項説明は宅建士が行う</t>
  </si>
  <si>
    <t>準工業地域内の土地は建築資材置場として利用されていても宅地である</t>
  </si>
  <si>
    <t>用途地域内の土地は道路・公園など公共施設を除き宅地となる</t>
  </si>
  <si>
    <t>用途地域内の土地は建物が建っていなくても宅地である</t>
  </si>
  <si>
    <t>用途地域内の土地は現況に関係なく宅地となる</t>
  </si>
  <si>
    <t>用途地域外の土地は宅地には該当しない</t>
  </si>
  <si>
    <t>用途地域外でも建物敷地として使用される土地は宅地</t>
  </si>
  <si>
    <t>道路・河川・公園など公共施設の用地は宅地ではない</t>
  </si>
  <si>
    <t>駐車場として利用されている土地は宅地である</t>
  </si>
  <si>
    <t>建物敷地以外でも宅地に該当する場合がある</t>
  </si>
  <si>
    <t>宅地の売買を1回だけ行う場合宅建業に該当する</t>
  </si>
  <si>
    <t>宅建業は反復継続が必要</t>
  </si>
  <si>
    <t>宅地の売買を反復継続して行う場合宅建業となる</t>
  </si>
  <si>
    <t>反復継続して売買する場合は宅建業</t>
  </si>
  <si>
    <t>建物の賃貸の媒介は宅建業である</t>
  </si>
  <si>
    <t>賃貸の代理・媒介は宅建業</t>
  </si>
  <si>
    <t>自ら貸主として賃貸する行為は宅建業である</t>
  </si>
  <si>
    <t>宅地売買の媒介は宅建業に該当する</t>
  </si>
  <si>
    <t>売買の媒介は宅建業</t>
  </si>
  <si>
    <t>宅建業免許は5年ごと更新</t>
  </si>
  <si>
    <t>免許更新は満了後でも可能である</t>
  </si>
  <si>
    <t>満了前に申請必要</t>
  </si>
  <si>
    <t>2以上の都道府県に事務所がある場合は国土交通大臣免許である</t>
  </si>
  <si>
    <t>複数都道府県は大臣免許</t>
  </si>
  <si>
    <t>1都道府県のみ事務所がある場合は知事免許である</t>
  </si>
  <si>
    <t>単一都道府県は知事免許</t>
  </si>
  <si>
    <t>事務所を設置せず営業する場合でも免許が必要である</t>
  </si>
  <si>
    <t>免許が必要</t>
  </si>
  <si>
    <t>宅建士が説明</t>
  </si>
  <si>
    <t>重要事項説明は書面交付のみでよい</t>
  </si>
  <si>
    <t>説明が必要</t>
  </si>
  <si>
    <t>宅建士証更新には講習受講が必要</t>
  </si>
  <si>
    <t>法定講習必要</t>
  </si>
  <si>
    <t>宅建士でなくても重要事項説明できる</t>
  </si>
  <si>
    <t>宅建士のみ</t>
  </si>
  <si>
    <t>主たる事務所の営業保証金は1000万円</t>
  </si>
  <si>
    <t>主事務所1000万</t>
  </si>
  <si>
    <t>従たる事務所は500万円</t>
  </si>
  <si>
    <t>500万</t>
  </si>
  <si>
    <t>供託すればすぐ営業可能</t>
  </si>
  <si>
    <t>届出必要</t>
  </si>
  <si>
    <t>保証協会加入なら営業保証金不要</t>
  </si>
  <si>
    <t>分担金制度</t>
  </si>
  <si>
    <t>保証協会は1業者2団体加入可能</t>
  </si>
  <si>
    <t>1団体のみ</t>
  </si>
  <si>
    <t>重要事項説明書は契約前に交付</t>
  </si>
  <si>
    <t>契約前</t>
  </si>
  <si>
    <t>重要事項説明書は宅建士が説明</t>
  </si>
  <si>
    <t>宅建士説明</t>
  </si>
  <si>
    <t>重要事項説明は書面不要</t>
  </si>
  <si>
    <t>書面必要</t>
  </si>
  <si>
    <t>宅建士は記名押印必要</t>
  </si>
  <si>
    <t>必要</t>
  </si>
  <si>
    <t>説明はオンライン可能</t>
  </si>
  <si>
    <t>一定条件で可能</t>
  </si>
  <si>
    <t>契約書は契約後交付</t>
  </si>
  <si>
    <t>契約成立後</t>
  </si>
  <si>
    <t>宅建士の説明不要</t>
  </si>
  <si>
    <t>説明不要</t>
  </si>
  <si>
    <t>37条書面は記名押印必要</t>
  </si>
  <si>
    <t>37条書面は契約前交付</t>
  </si>
  <si>
    <t>契約後</t>
  </si>
  <si>
    <t>売買契約で必要</t>
  </si>
  <si>
    <t>誇大広告は禁止</t>
  </si>
  <si>
    <t>禁止</t>
  </si>
  <si>
    <t>未完成物件は確認後広告可能</t>
  </si>
  <si>
    <t>宅建業免許番号表示必要</t>
  </si>
  <si>
    <t>虚偽広告は禁止</t>
  </si>
  <si>
    <t>広告時期制限あり</t>
  </si>
  <si>
    <t>ある</t>
  </si>
  <si>
    <t>専属専任媒介契約は自己発見取引不可</t>
  </si>
  <si>
    <t>不可</t>
  </si>
  <si>
    <t>専任媒介契約は自己発見可能</t>
  </si>
  <si>
    <t>可能</t>
  </si>
  <si>
    <t>一般媒介契約は複数契約可能</t>
  </si>
  <si>
    <t>専属専任媒介は1週間報告義務</t>
  </si>
  <si>
    <t>あり</t>
  </si>
  <si>
    <t>専任媒介は2週間報告義務</t>
  </si>
  <si>
    <t>手付金は20％以内</t>
  </si>
  <si>
    <t>20％以内</t>
  </si>
  <si>
    <t>クーリングオフ制度あり</t>
  </si>
  <si>
    <t>損害賠償予定は20％以内</t>
  </si>
  <si>
    <t>以内</t>
  </si>
  <si>
    <t>手付解除可能</t>
  </si>
  <si>
    <t>完成物件でも適用</t>
  </si>
  <si>
    <t>業者売主のみ</t>
  </si>
  <si>
    <t>報酬</t>
  </si>
  <si>
    <t>売買仲介報酬上限あり</t>
  </si>
  <si>
    <t>貸借仲介報酬上限あり</t>
  </si>
  <si>
    <t>成功報酬方式</t>
  </si>
  <si>
    <t>成立時</t>
  </si>
  <si>
    <t>報酬額は国交省告示</t>
  </si>
  <si>
    <t>告示</t>
  </si>
  <si>
    <t>報酬は自由設定可能</t>
  </si>
  <si>
    <t>上限あり</t>
  </si>
  <si>
    <t>業務停止処分あり</t>
  </si>
  <si>
    <t>免許取消処分あり</t>
  </si>
  <si>
    <t>指示処分あり</t>
  </si>
  <si>
    <t>免許取消は知事のみ</t>
  </si>
  <si>
    <t>大臣も可</t>
  </si>
  <si>
    <t>行政処分あり</t>
  </si>
  <si>
    <t>無免許営業は罰則あり</t>
  </si>
  <si>
    <t>不正免許取得は罰則あり</t>
  </si>
  <si>
    <t>虚偽広告罰則あり</t>
  </si>
  <si>
    <t>名義貸し罰則あり</t>
  </si>
  <si>
    <t>宅建士証不携帯罰則あり</t>
  </si>
  <si>
    <t>宅建士証提示義務あり</t>
  </si>
  <si>
    <t>提示</t>
  </si>
  <si>
    <t>宅建士証携帯義務あり</t>
  </si>
  <si>
    <t>携帯</t>
  </si>
  <si>
    <t>宅建士は独占業務あり</t>
  </si>
  <si>
    <t>宅建士登録必要</t>
  </si>
  <si>
    <t>宅建士は登録消除あり</t>
  </si>
  <si>
    <t>免許申請書公示あり</t>
  </si>
  <si>
    <t>免許更新時審査あり</t>
  </si>
  <si>
    <t>免許番号表示義務あり</t>
  </si>
  <si>
    <t>免許は譲渡可能</t>
  </si>
  <si>
    <t>免許は法人個人別</t>
  </si>
  <si>
    <t>別</t>
  </si>
  <si>
    <t>事務所</t>
  </si>
  <si>
    <t>事務所に標識掲示義務あり</t>
  </si>
  <si>
    <t>従業者証明書携帯義務あり</t>
  </si>
  <si>
    <t>帳簿備付義務あり</t>
  </si>
  <si>
    <t>宅建士設置義務あり</t>
  </si>
  <si>
    <t>事務所数に応じ設置</t>
  </si>
  <si>
    <t>宅建業者は免許を受ける前でも広告を出すことができる</t>
  </si>
  <si>
    <t>宅建業者は免許を受ける前に広告を出してはならない</t>
  </si>
  <si>
    <t>宅建業者は取引態様を広告に表示しなければならない</t>
  </si>
  <si>
    <t>売主・代理・媒介など取引態様の明示が必要</t>
  </si>
  <si>
    <t>誇大広告は禁止されている</t>
  </si>
  <si>
    <t>著しく事実に相違する広告は禁止されている</t>
  </si>
  <si>
    <t>宅地造成完了前でも自由に広告できる</t>
  </si>
  <si>
    <t>造成工事完了前の広告には制限がある</t>
  </si>
  <si>
    <t>未完成物件の広告には開発許可などの表示が必要である</t>
  </si>
  <si>
    <t>許可番号などの表示が必要</t>
  </si>
  <si>
    <t>媒介契約には3種類ある</t>
  </si>
  <si>
    <t>一般媒介、専任媒介、専属専任媒介</t>
  </si>
  <si>
    <t>専属専任媒介契約では自己発見取引ができる</t>
  </si>
  <si>
    <t>専属専任媒介では自己発見取引は禁止</t>
  </si>
  <si>
    <t>専任媒介契約では自己発見取引ができる</t>
  </si>
  <si>
    <t>専任媒介では自己発見取引は可能</t>
  </si>
  <si>
    <t>媒介契約は書面で締結しなければならない</t>
  </si>
  <si>
    <t>媒介契約は書面交付が必要</t>
  </si>
  <si>
    <t>媒介契約の有効期間は3か月以内である</t>
  </si>
  <si>
    <t>媒介契約の期間は3か月以内</t>
  </si>
  <si>
    <t>専属専任媒介契約では1週間に1回以上報告義務がある</t>
  </si>
  <si>
    <t>業務処理状況の報告義務あり</t>
  </si>
  <si>
    <t>専任媒介契約では2週間に1回以上報告義務がある</t>
  </si>
  <si>
    <t>専任媒介は2週間に1回以上</t>
  </si>
  <si>
    <t>一般媒介契約には報告義務がある</t>
  </si>
  <si>
    <t>一般媒介には報告義務はない</t>
  </si>
  <si>
    <t>専属専任媒介ではレインズ登録義務がある</t>
  </si>
  <si>
    <t>契約締結後5日以内に登録</t>
  </si>
  <si>
    <t>専任媒介契約ではレインズ登録義務がある</t>
  </si>
  <si>
    <t>契約締結後7日以内に登録</t>
  </si>
  <si>
    <t>手付金</t>
  </si>
  <si>
    <t>宅建業者が売主の場合手付金には制限がある</t>
  </si>
  <si>
    <t>手付金等は代金の20%以内</t>
  </si>
  <si>
    <t>手付金の性質は解約手付が原則である</t>
  </si>
  <si>
    <t>特約がなければ解約手付</t>
  </si>
  <si>
    <t>買主は手付金を放棄して契約解除できる</t>
  </si>
  <si>
    <t>解約手付の原則</t>
  </si>
  <si>
    <t>売主は手付金の倍返しで契約解除できる</t>
  </si>
  <si>
    <t>手付倍返し</t>
  </si>
  <si>
    <t>履行に着手した後は手付解除できない</t>
  </si>
  <si>
    <t>履行着手後は解除不可</t>
  </si>
  <si>
    <t>クーリングオフ</t>
  </si>
  <si>
    <t>宅建業者が売主の場合クーリングオフ制度がある</t>
  </si>
  <si>
    <t>一定の場合クーリングオフ可能</t>
  </si>
  <si>
    <t>事務所で契約した場合クーリングオフできない</t>
  </si>
  <si>
    <t>事務所契約は対象外</t>
  </si>
  <si>
    <t>クーリングオフ期間は8日である</t>
  </si>
  <si>
    <t>書面受領から8日</t>
  </si>
  <si>
    <t>クーリングオフは書面で行う必要がある</t>
  </si>
  <si>
    <t>書面通知が必要</t>
  </si>
  <si>
    <t>クーリングオフした場合違約金請求できない</t>
  </si>
  <si>
    <t>損害賠償請求不可</t>
  </si>
  <si>
    <t>損害賠償</t>
  </si>
  <si>
    <t>宅建業者が売主の場合損害賠償額予定は20%以内</t>
  </si>
  <si>
    <t>代金の20%以内</t>
  </si>
  <si>
    <t>違約金と損害賠償額予定は別に定められる</t>
  </si>
  <si>
    <t>合算して20%以内</t>
  </si>
  <si>
    <t>20%を超える特約は無効となる</t>
  </si>
  <si>
    <t>超過部分は無効</t>
  </si>
  <si>
    <t>瑕疵担保責任</t>
  </si>
  <si>
    <t>宅建業者売主の場合2年以上の責任期間が必要</t>
  </si>
  <si>
    <t>2年以上</t>
  </si>
  <si>
    <t>瑕疵担保責任を免除する特約は可能</t>
  </si>
  <si>
    <t>業者売主の場合不可</t>
  </si>
  <si>
    <t>割賦販売</t>
  </si>
  <si>
    <t>割賦販売では所有権留保が認められる</t>
  </si>
  <si>
    <t>代金完済まで留保</t>
  </si>
  <si>
    <t>割賦販売の解除には催告が必要</t>
  </si>
  <si>
    <t>一定期間の催告が必要</t>
  </si>
  <si>
    <t>催告期間は30日以上である</t>
  </si>
  <si>
    <t>30日以上</t>
  </si>
  <si>
    <t>催告なしで解除できる</t>
  </si>
  <si>
    <t>催告必要</t>
  </si>
  <si>
    <t>住宅ローン特約</t>
  </si>
  <si>
    <t>ローン特約により契約解除できる</t>
  </si>
  <si>
    <t>融資不成立の場合解除</t>
  </si>
  <si>
    <t>ローン特約は宅建業法の規定である</t>
  </si>
  <si>
    <t>民法契約の特約</t>
  </si>
  <si>
    <t>報酬額</t>
  </si>
  <si>
    <t>宅建業者の報酬額には上限がある</t>
  </si>
  <si>
    <t>報酬規定あり</t>
  </si>
  <si>
    <t>売買価格400万円超の報酬上限は3%+6万円である</t>
  </si>
  <si>
    <t>売主と買主双方から報酬を受けることができる</t>
  </si>
  <si>
    <t>双方から受領可能</t>
  </si>
  <si>
    <t>報酬は自由に決めてよい</t>
  </si>
  <si>
    <t>国土交通省告示で上限あり</t>
  </si>
  <si>
    <t>免許取消処分がある</t>
  </si>
  <si>
    <t>重大違反の場合</t>
  </si>
  <si>
    <t>業務停止処分がある</t>
  </si>
  <si>
    <t>一定期間営業停止</t>
  </si>
  <si>
    <t>指示処分がある</t>
  </si>
  <si>
    <t>行政指導処分</t>
  </si>
  <si>
    <t>無免許営業には罰則がある</t>
  </si>
  <si>
    <t>宅建業法違反</t>
  </si>
  <si>
    <t>名義貸しは禁止されている</t>
  </si>
  <si>
    <t>宅建業者の名義貸しは禁止</t>
  </si>
  <si>
    <t>=+消費税</t>
    <phoneticPr fontId="1"/>
  </si>
  <si>
    <t>○</t>
    <phoneticPr fontId="1"/>
  </si>
  <si>
    <t>宅建士の法的業務</t>
    <rPh sb="0" eb="3">
      <t>タッケンシ</t>
    </rPh>
    <rPh sb="4" eb="6">
      <t>ホウテキ</t>
    </rPh>
    <rPh sb="6" eb="8">
      <t>ギョウム</t>
    </rPh>
    <phoneticPr fontId="1"/>
  </si>
  <si>
    <t>重要事項の説明、重要事項の説明書に記名、契約書に記名</t>
    <rPh sb="0" eb="4">
      <t>ジュウヨウジコウ</t>
    </rPh>
    <rPh sb="5" eb="7">
      <t>セツメイ</t>
    </rPh>
    <rPh sb="15" eb="16">
      <t>ショ</t>
    </rPh>
    <rPh sb="17" eb="19">
      <t>キメイ</t>
    </rPh>
    <rPh sb="20" eb="23">
      <t>ケイヤクショ</t>
    </rPh>
    <rPh sb="24" eb="26">
      <t>キメイ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</si>
</sst>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Yu Gothic"/>
      <family val="2"/>
      <scheme val="minor"/>
    </font>
    <font>
      <sz val="6"/>
      <name val="Yu Gothic"/>
      <family val="3"/>
      <charset val="128"/>
      <scheme val="minor"/>
    </font>
    <font>
      <sz val="11"/>
      <color theme="0"/>
      <name val="Yu Gothic"/>
      <family val="2"/>
      <scheme val="minor"/>
    </font>
    <font>
      <sz val="11"/>
      <name val="Yu Gothic"/>
      <family val="3"/>
      <charset val="128"/>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0" fillId="2" borderId="1" xfId="0" applyFill="1" applyBorder="1" applyAlignment="1">
      <alignment vertical="center" wrapText="1"/>
    </xf>
    <xf numFmtId="0" fontId="2" fillId="0" borderId="0" xfId="0" applyFont="1"/>
    <xf numFmtId="0" fontId="0" fillId="0" borderId="0" xfId="0" applyAlignment="1">
      <alignment wrapText="1"/>
    </xf>
    <xf numFmtId="0" fontId="0" fillId="2" borderId="2" xfId="0" applyFill="1" applyBorder="1"/>
    <xf numFmtId="0" fontId="3" fillId="0" borderId="0" xfId="0" applyFont="1" applyAlignment="1">
      <alignment wrapText="1"/>
    </xf>
    <xf numFmtId="0" fontId="3" fillId="0" borderId="0" xfId="0" applyFont="1"/>
    <xf numFmtId="0" fontId="0" fillId="2" borderId="2" xfId="0" applyFill="1" applyBorder="1" applyAlignment="1">
      <alignment vertical="center" wrapText="1"/>
    </xf>
    <xf numFmtId="0" fontId="0" fillId="0" borderId="0" xfId="0" quotePrefix="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27"/>
  <sheetViews>
    <sheetView tabSelected="1" workbookViewId="0">
      <pane ySplit="1" topLeftCell="A119" activePane="bottomLeft" state="frozen"/>
      <selection pane="bottomLeft" activeCell="C128" sqref="C128"/>
    </sheetView>
  </sheetViews>
  <sheetFormatPr defaultRowHeight="18.75"/>
  <cols>
    <col min="1" max="1" width="8.875" customWidth="1"/>
    <col min="2" max="2" width="40.625" customWidth="1"/>
    <col min="3" max="3" width="44.375" style="3" customWidth="1"/>
    <col min="4" max="5" width="26.125" customWidth="1"/>
    <col min="6" max="6" width="50.5" customWidth="1"/>
    <col min="7" max="7" width="22.25" customWidth="1"/>
    <col min="8" max="8" width="19.75" customWidth="1"/>
    <col min="9" max="9" width="19.375" customWidth="1"/>
  </cols>
  <sheetData>
    <row r="1" spans="1:9">
      <c r="A1" s="1" t="s">
        <v>0</v>
      </c>
      <c r="B1" s="1" t="s">
        <v>1</v>
      </c>
      <c r="C1" s="1" t="s">
        <v>2</v>
      </c>
      <c r="D1" s="7" t="s">
        <v>3</v>
      </c>
      <c r="E1" s="7" t="s">
        <v>4</v>
      </c>
      <c r="F1" s="7" t="s">
        <v>5</v>
      </c>
      <c r="G1" s="1" t="s">
        <v>6</v>
      </c>
      <c r="H1" s="1" t="s">
        <v>7</v>
      </c>
      <c r="I1" s="1" t="s">
        <v>8</v>
      </c>
    </row>
    <row r="2" spans="1:9">
      <c r="A2" t="s">
        <v>59</v>
      </c>
      <c r="B2" t="str">
        <f>IF($A2="","",VLOOKUP($A2,データ宅建業法!$A$2:$E$500,3,FALSE))</f>
        <v>準工業地域内の土地は建築資材置場として利用されていても宅地である</v>
      </c>
      <c r="C2" t="str">
        <f>IF($A2="","",VLOOKUP($A2,データ宅建業法!$A$2:$E$500,4,FALSE))</f>
        <v>○</v>
      </c>
      <c r="D2" s="5"/>
      <c r="E2" s="5"/>
      <c r="F2" t="str">
        <f>IF($A2="","",VLOOKUP($A2,データ宅建業法!$A$2:$E$500,5,FALSE))</f>
        <v>用途地域内の土地は道路・公園など公共施設を除き宅地となる</v>
      </c>
      <c r="H2" t="str">
        <f>IF($A2="","",VLOOKUP($A2,データ宅建業法!$A$2:$E$500,5,FALSE))</f>
        <v>用途地域内の土地は道路・公園など公共施設を除き宅地となる</v>
      </c>
    </row>
    <row r="3" spans="1:9">
      <c r="A3" t="s">
        <v>60</v>
      </c>
      <c r="B3" t="str">
        <f>IF($A3="","",VLOOKUP($A3,データ宅建業法!$A$2:$E$500,3,FALSE))</f>
        <v>用途地域内の土地は建物が建っていなくても宅地である</v>
      </c>
      <c r="C3" t="str">
        <f>IF($A3="","",VLOOKUP($A3,データ宅建業法!$A$2:$E$500,4,FALSE))</f>
        <v>○</v>
      </c>
      <c r="D3" s="5"/>
      <c r="E3" s="5"/>
      <c r="F3" t="str">
        <f>IF($A3="","",VLOOKUP($A3,データ宅建業法!$A$2:$E$500,5,FALSE))</f>
        <v>用途地域内の土地は現況に関係なく宅地となる</v>
      </c>
      <c r="H3" t="str">
        <f>IF($A3="","",VLOOKUP($A3,データ宅建業法!$A$2:$E$500,5,FALSE))</f>
        <v>用途地域内の土地は現況に関係なく宅地となる</v>
      </c>
    </row>
    <row r="4" spans="1:9">
      <c r="A4" t="s">
        <v>61</v>
      </c>
      <c r="B4" t="str">
        <f>IF($A4="","",VLOOKUP($A4,データ宅建業法!$A$2:$E$500,3,FALSE))</f>
        <v>用途地域外の土地は宅地には該当しない</v>
      </c>
      <c r="C4" t="str">
        <f>IF($A4="","",VLOOKUP($A4,データ宅建業法!$A$2:$E$500,4,FALSE))</f>
        <v>×</v>
      </c>
      <c r="D4" s="5"/>
      <c r="E4" s="5"/>
      <c r="F4" t="str">
        <f>IF($A4="","",VLOOKUP($A4,データ宅建業法!$A$2:$E$500,5,FALSE))</f>
        <v>用途地域外でも建物敷地として使用される土地は宅地</v>
      </c>
      <c r="H4" t="str">
        <f>IF($A4="","",VLOOKUP($A4,データ宅建業法!$A$2:$E$500,5,FALSE))</f>
        <v>用途地域外でも建物敷地として使用される土地は宅地</v>
      </c>
    </row>
    <row r="5" spans="1:9">
      <c r="A5" t="s">
        <v>62</v>
      </c>
      <c r="B5" t="str">
        <f>IF($A5="","",VLOOKUP($A5,データ宅建業法!$A$2:$E$500,3,FALSE))</f>
        <v>道路は宅地に該当する</v>
      </c>
      <c r="C5" t="str">
        <f>IF($A5="","",VLOOKUP($A5,データ宅建業法!$A$2:$E$500,4,FALSE))</f>
        <v>×</v>
      </c>
      <c r="D5" s="5"/>
      <c r="E5" s="5"/>
      <c r="F5" t="str">
        <f>IF($A5="","",VLOOKUP($A5,データ宅建業法!$A$2:$E$500,5,FALSE))</f>
        <v>道路・河川・公園など公共施設の用地は宅地ではない</v>
      </c>
      <c r="H5" t="str">
        <f>IF($A5="","",VLOOKUP($A5,データ宅建業法!$A$2:$E$500,5,FALSE))</f>
        <v>道路・河川・公園など公共施設の用地は宅地ではない</v>
      </c>
    </row>
    <row r="6" spans="1:9">
      <c r="A6" t="s">
        <v>63</v>
      </c>
      <c r="B6" t="str">
        <f>IF($A6="","",VLOOKUP($A6,データ宅建業法!$A$2:$E$500,3,FALSE))</f>
        <v>駐車場として利用されている土地は宅地である</v>
      </c>
      <c r="C6" t="str">
        <f>IF($A6="","",VLOOKUP($A6,データ宅建業法!$A$2:$E$500,4,FALSE))</f>
        <v>○</v>
      </c>
      <c r="D6" s="5"/>
      <c r="E6" s="5"/>
      <c r="F6" t="str">
        <f>IF($A6="","",VLOOKUP($A6,データ宅建業法!$A$2:$E$500,5,FALSE))</f>
        <v>建物敷地以外でも宅地に該当する場合がある</v>
      </c>
      <c r="H6" t="str">
        <f>IF($A6="","",VLOOKUP($A6,データ宅建業法!$A$2:$E$500,5,FALSE))</f>
        <v>建物敷地以外でも宅地に該当する場合がある</v>
      </c>
    </row>
    <row r="7" spans="1:9">
      <c r="A7" t="s">
        <v>64</v>
      </c>
      <c r="B7" t="str">
        <f>IF($A7="","",VLOOKUP($A7,データ宅建業法!$A$2:$E$500,3,FALSE))</f>
        <v>宅地の売買を1回だけ行う場合宅建業に該当する</v>
      </c>
      <c r="C7" t="str">
        <f>IF($A7="","",VLOOKUP($A7,データ宅建業法!$A$2:$E$500,4,FALSE))</f>
        <v>×</v>
      </c>
      <c r="D7" s="5"/>
      <c r="E7" s="5"/>
      <c r="F7" t="str">
        <f>IF($A7="","",VLOOKUP($A7,データ宅建業法!$A$2:$E$500,5,FALSE))</f>
        <v>宅建業は反復継続が必要</v>
      </c>
      <c r="H7" t="str">
        <f>IF($A7="","",VLOOKUP($A7,データ宅建業法!$A$2:$E$500,5,FALSE))</f>
        <v>宅建業は反復継続が必要</v>
      </c>
    </row>
    <row r="8" spans="1:9">
      <c r="A8" t="s">
        <v>65</v>
      </c>
      <c r="B8" t="str">
        <f>IF($A8="","",VLOOKUP($A8,データ宅建業法!$A$2:$E$500,3,FALSE))</f>
        <v>宅地の売買を反復継続して行う場合宅建業となる</v>
      </c>
      <c r="C8" t="str">
        <f>IF($A8="","",VLOOKUP($A8,データ宅建業法!$A$2:$E$500,4,FALSE))</f>
        <v>○</v>
      </c>
      <c r="D8" s="5"/>
      <c r="E8" s="5"/>
      <c r="F8" t="str">
        <f>IF($A8="","",VLOOKUP($A8,データ宅建業法!$A$2:$E$500,5,FALSE))</f>
        <v>反復継続して売買する場合は宅建業</v>
      </c>
      <c r="H8" t="str">
        <f>IF($A8="","",VLOOKUP($A8,データ宅建業法!$A$2:$E$500,5,FALSE))</f>
        <v>反復継続して売買する場合は宅建業</v>
      </c>
    </row>
    <row r="9" spans="1:9">
      <c r="A9" t="s">
        <v>66</v>
      </c>
      <c r="B9" t="str">
        <f>IF($A9="","",VLOOKUP($A9,データ宅建業法!$A$2:$E$500,3,FALSE))</f>
        <v>建物の賃貸の媒介は宅建業である</v>
      </c>
      <c r="C9" t="str">
        <f>IF($A9="","",VLOOKUP($A9,データ宅建業法!$A$2:$E$500,4,FALSE))</f>
        <v>○</v>
      </c>
      <c r="D9" s="5"/>
      <c r="E9" s="5"/>
      <c r="F9" t="str">
        <f>IF($A9="","",VLOOKUP($A9,データ宅建業法!$A$2:$E$500,5,FALSE))</f>
        <v>賃貸の代理・媒介は宅建業</v>
      </c>
      <c r="H9" t="str">
        <f>IF($A9="","",VLOOKUP($A9,データ宅建業法!$A$2:$E$500,5,FALSE))</f>
        <v>賃貸の代理・媒介は宅建業</v>
      </c>
    </row>
    <row r="10" spans="1:9">
      <c r="A10" t="s">
        <v>67</v>
      </c>
      <c r="B10" t="str">
        <f>IF($A10="","",VLOOKUP($A10,データ宅建業法!$A$2:$E$500,3,FALSE))</f>
        <v>自ら貸主として賃貸する行為は宅建業である</v>
      </c>
      <c r="C10" t="str">
        <f>IF($A10="","",VLOOKUP($A10,データ宅建業法!$A$2:$E$500,4,FALSE))</f>
        <v>×</v>
      </c>
      <c r="D10" s="5"/>
      <c r="E10" s="5"/>
      <c r="F10" t="str">
        <f>IF($A10="","",VLOOKUP($A10,データ宅建業法!$A$2:$E$500,5,FALSE))</f>
        <v>貸借は宅建業に含まれない</v>
      </c>
      <c r="H10" t="str">
        <f>IF($A10="","",VLOOKUP($A10,データ宅建業法!$A$2:$E$500,5,FALSE))</f>
        <v>貸借は宅建業に含まれない</v>
      </c>
    </row>
    <row r="11" spans="1:9">
      <c r="A11" t="s">
        <v>68</v>
      </c>
      <c r="B11" t="str">
        <f>IF($A11="","",VLOOKUP($A11,データ宅建業法!$A$2:$E$500,3,FALSE))</f>
        <v>宅地売買の媒介は宅建業に該当する</v>
      </c>
      <c r="C11" t="str">
        <f>IF($A11="","",VLOOKUP($A11,データ宅建業法!$A$2:$E$500,4,FALSE))</f>
        <v>○</v>
      </c>
      <c r="D11" s="5"/>
      <c r="E11" s="5"/>
      <c r="F11" t="str">
        <f>IF($A11="","",VLOOKUP($A11,データ宅建業法!$A$2:$E$500,5,FALSE))</f>
        <v>売買の媒介は宅建業</v>
      </c>
      <c r="H11" t="str">
        <f>IF($A11="","",VLOOKUP($A11,データ宅建業法!$A$2:$E$500,5,FALSE))</f>
        <v>売買の媒介は宅建業</v>
      </c>
    </row>
    <row r="12" spans="1:9">
      <c r="A12" t="s">
        <v>69</v>
      </c>
      <c r="B12" t="str">
        <f>IF($A12="","",VLOOKUP($A12,データ宅建業法!$A$2:$E$500,3,FALSE))</f>
        <v>宅建業免許の有効期間は5年である</v>
      </c>
      <c r="C12" t="str">
        <f>IF($A12="","",VLOOKUP($A12,データ宅建業法!$A$2:$E$500,4,FALSE))</f>
        <v>○</v>
      </c>
      <c r="D12" s="5"/>
      <c r="E12" s="5"/>
      <c r="F12" t="str">
        <f>IF($A12="","",VLOOKUP($A12,データ宅建業法!$A$2:$E$500,5,FALSE))</f>
        <v>宅建業免許は5年ごと更新</v>
      </c>
      <c r="H12" t="str">
        <f>IF($A12="","",VLOOKUP($A12,データ宅建業法!$A$2:$E$500,5,FALSE))</f>
        <v>宅建業免許は5年ごと更新</v>
      </c>
    </row>
    <row r="13" spans="1:9">
      <c r="A13" t="s">
        <v>70</v>
      </c>
      <c r="B13" t="str">
        <f>IF($A13="","",VLOOKUP($A13,データ宅建業法!$A$2:$E$500,3,FALSE))</f>
        <v>免許更新は満了後でも可能である</v>
      </c>
      <c r="C13" t="str">
        <f>IF($A13="","",VLOOKUP($A13,データ宅建業法!$A$2:$E$500,4,FALSE))</f>
        <v>×</v>
      </c>
      <c r="D13" s="5"/>
      <c r="E13" s="5"/>
      <c r="F13" t="str">
        <f>IF($A13="","",VLOOKUP($A13,データ宅建業法!$A$2:$E$500,5,FALSE))</f>
        <v>満了前に申請必要</v>
      </c>
      <c r="H13" t="str">
        <f>IF($A13="","",VLOOKUP($A13,データ宅建業法!$A$2:$E$500,5,FALSE))</f>
        <v>満了前に申請必要</v>
      </c>
    </row>
    <row r="14" spans="1:9">
      <c r="A14" t="s">
        <v>71</v>
      </c>
      <c r="B14" t="str">
        <f>IF($A14="","",VLOOKUP($A14,データ宅建業法!$A$2:$E$500,3,FALSE))</f>
        <v>2以上の都道府県に事務所がある場合は国土交通大臣免許である</v>
      </c>
      <c r="C14" t="str">
        <f>IF($A14="","",VLOOKUP($A14,データ宅建業法!$A$2:$E$500,4,FALSE))</f>
        <v>○</v>
      </c>
      <c r="D14" s="5"/>
      <c r="E14" s="5"/>
      <c r="F14" t="str">
        <f>IF($A14="","",VLOOKUP($A14,データ宅建業法!$A$2:$E$500,5,FALSE))</f>
        <v>複数都道府県は大臣免許</v>
      </c>
      <c r="H14" t="str">
        <f>IF($A14="","",VLOOKUP($A14,データ宅建業法!$A$2:$E$500,5,FALSE))</f>
        <v>複数都道府県は大臣免許</v>
      </c>
    </row>
    <row r="15" spans="1:9">
      <c r="A15" t="s">
        <v>72</v>
      </c>
      <c r="B15" t="str">
        <f>IF($A15="","",VLOOKUP($A15,データ宅建業法!$A$2:$E$500,3,FALSE))</f>
        <v>1都道府県のみ事務所がある場合は知事免許である</v>
      </c>
      <c r="C15" t="str">
        <f>IF($A15="","",VLOOKUP($A15,データ宅建業法!$A$2:$E$500,4,FALSE))</f>
        <v>○</v>
      </c>
      <c r="D15" s="5"/>
      <c r="E15" s="5"/>
      <c r="F15" t="str">
        <f>IF($A15="","",VLOOKUP($A15,データ宅建業法!$A$2:$E$500,5,FALSE))</f>
        <v>単一都道府県は知事免許</v>
      </c>
      <c r="H15" t="str">
        <f>IF($A15="","",VLOOKUP($A15,データ宅建業法!$A$2:$E$500,5,FALSE))</f>
        <v>単一都道府県は知事免許</v>
      </c>
    </row>
    <row r="16" spans="1:9">
      <c r="A16" t="s">
        <v>73</v>
      </c>
      <c r="B16" t="str">
        <f>IF($A16="","",VLOOKUP($A16,データ宅建業法!$A$2:$E$500,3,FALSE))</f>
        <v>事務所を設置せず営業する場合でも免許が必要である</v>
      </c>
      <c r="C16" t="str">
        <f>IF($A16="","",VLOOKUP($A16,データ宅建業法!$A$2:$E$500,4,FALSE))</f>
        <v>○</v>
      </c>
      <c r="D16" s="5"/>
      <c r="E16" s="5"/>
      <c r="F16" t="str">
        <f>IF($A16="","",VLOOKUP($A16,データ宅建業法!$A$2:$E$500,5,FALSE))</f>
        <v>免許が必要</v>
      </c>
      <c r="H16" t="str">
        <f>IF($A16="","",VLOOKUP($A16,データ宅建業法!$A$2:$E$500,5,FALSE))</f>
        <v>免許が必要</v>
      </c>
    </row>
    <row r="17" spans="1:8">
      <c r="A17" t="s">
        <v>74</v>
      </c>
      <c r="B17" t="str">
        <f>IF($A17="","",VLOOKUP($A17,データ宅建業法!$A$2:$E$500,3,FALSE))</f>
        <v>重要事項説明は宅建士が行う</v>
      </c>
      <c r="C17" t="str">
        <f>IF($A17="","",VLOOKUP($A17,データ宅建業法!$A$2:$E$500,4,FALSE))</f>
        <v>○</v>
      </c>
      <c r="D17" s="5"/>
      <c r="E17" s="5"/>
      <c r="F17" t="str">
        <f>IF($A17="","",VLOOKUP($A17,データ宅建業法!$A$2:$E$500,5,FALSE))</f>
        <v>宅建士が説明</v>
      </c>
      <c r="H17" t="str">
        <f>IF($A17="","",VLOOKUP($A17,データ宅建業法!$A$2:$E$500,5,FALSE))</f>
        <v>宅建士が説明</v>
      </c>
    </row>
    <row r="18" spans="1:8">
      <c r="A18" t="s">
        <v>75</v>
      </c>
      <c r="B18" t="str">
        <f>IF($A18="","",VLOOKUP($A18,データ宅建業法!$A$2:$E$500,3,FALSE))</f>
        <v>重要事項説明は書面交付のみでよい</v>
      </c>
      <c r="C18" t="str">
        <f>IF($A18="","",VLOOKUP($A18,データ宅建業法!$A$2:$E$500,4,FALSE))</f>
        <v>×</v>
      </c>
      <c r="D18" s="5"/>
      <c r="E18" s="5"/>
      <c r="F18" t="str">
        <f>IF($A18="","",VLOOKUP($A18,データ宅建業法!$A$2:$E$500,5,FALSE))</f>
        <v>説明が必要</v>
      </c>
      <c r="H18" t="str">
        <f>IF($A18="","",VLOOKUP($A18,データ宅建業法!$A$2:$E$500,5,FALSE))</f>
        <v>説明が必要</v>
      </c>
    </row>
    <row r="19" spans="1:8">
      <c r="A19" t="s">
        <v>76</v>
      </c>
      <c r="B19" t="str">
        <f>IF($A19="","",VLOOKUP($A19,データ宅建業法!$A$2:$E$500,3,FALSE))</f>
        <v>宅建士証の有効期間は5年である</v>
      </c>
      <c r="C19" t="str">
        <f>IF($A19="","",VLOOKUP($A19,データ宅建業法!$A$2:$E$500,4,FALSE))</f>
        <v>○</v>
      </c>
      <c r="D19" s="5"/>
      <c r="E19" s="5"/>
      <c r="F19" t="str">
        <f>IF($A19="","",VLOOKUP($A19,データ宅建業法!$A$2:$E$500,5,FALSE))</f>
        <v>5年</v>
      </c>
      <c r="H19" t="str">
        <f>IF($A19="","",VLOOKUP($A19,データ宅建業法!$A$2:$E$500,5,FALSE))</f>
        <v>5年</v>
      </c>
    </row>
    <row r="20" spans="1:8">
      <c r="A20" t="s">
        <v>77</v>
      </c>
      <c r="B20" t="str">
        <f>IF($A20="","",VLOOKUP($A20,データ宅建業法!$A$2:$E$500,3,FALSE))</f>
        <v>宅建士証更新には講習受講が必要</v>
      </c>
      <c r="C20" t="str">
        <f>IF($A20="","",VLOOKUP($A20,データ宅建業法!$A$2:$E$500,4,FALSE))</f>
        <v>○</v>
      </c>
      <c r="D20" s="5"/>
      <c r="E20" s="5"/>
      <c r="F20" t="str">
        <f>IF($A20="","",VLOOKUP($A20,データ宅建業法!$A$2:$E$500,5,FALSE))</f>
        <v>法定講習必要</v>
      </c>
      <c r="H20" t="str">
        <f>IF($A20="","",VLOOKUP($A20,データ宅建業法!$A$2:$E$500,5,FALSE))</f>
        <v>法定講習必要</v>
      </c>
    </row>
    <row r="21" spans="1:8">
      <c r="A21" t="s">
        <v>78</v>
      </c>
      <c r="B21" t="str">
        <f>IF($A21="","",VLOOKUP($A21,データ宅建業法!$A$2:$E$500,3,FALSE))</f>
        <v>宅建士でなくても重要事項説明できる</v>
      </c>
      <c r="C21" t="str">
        <f>IF($A21="","",VLOOKUP($A21,データ宅建業法!$A$2:$E$500,4,FALSE))</f>
        <v>×</v>
      </c>
      <c r="D21" s="5"/>
      <c r="E21" s="5"/>
      <c r="F21" t="str">
        <f>IF($A21="","",VLOOKUP($A21,データ宅建業法!$A$2:$E$500,5,FALSE))</f>
        <v>宅建士のみ</v>
      </c>
      <c r="H21" t="str">
        <f>IF($A21="","",VLOOKUP($A21,データ宅建業法!$A$2:$E$500,5,FALSE))</f>
        <v>宅建士のみ</v>
      </c>
    </row>
    <row r="22" spans="1:8">
      <c r="A22" t="s">
        <v>79</v>
      </c>
      <c r="B22" t="str">
        <f>IF($A22="","",VLOOKUP($A22,データ宅建業法!$A$2:$E$500,3,FALSE))</f>
        <v>主たる事務所の営業保証金は1000万円</v>
      </c>
      <c r="C22" t="str">
        <f>IF($A22="","",VLOOKUP($A22,データ宅建業法!$A$2:$E$500,4,FALSE))</f>
        <v>○</v>
      </c>
      <c r="D22" s="5"/>
      <c r="E22" s="5"/>
      <c r="F22" t="str">
        <f>IF($A22="","",VLOOKUP($A22,データ宅建業法!$A$2:$E$500,5,FALSE))</f>
        <v>主事務所1000万</v>
      </c>
      <c r="H22" t="str">
        <f>IF($A22="","",VLOOKUP($A22,データ宅建業法!$A$2:$E$500,5,FALSE))</f>
        <v>主事務所1000万</v>
      </c>
    </row>
    <row r="23" spans="1:8">
      <c r="A23" t="s">
        <v>80</v>
      </c>
      <c r="B23" t="str">
        <f>IF($A23="","",VLOOKUP($A23,データ宅建業法!$A$2:$E$500,3,FALSE))</f>
        <v>従たる事務所は500万円</v>
      </c>
      <c r="C23" t="str">
        <f>IF($A23="","",VLOOKUP($A23,データ宅建業法!$A$2:$E$500,4,FALSE))</f>
        <v>○</v>
      </c>
      <c r="D23" s="5"/>
      <c r="E23" s="5"/>
      <c r="F23" t="str">
        <f>IF($A23="","",VLOOKUP($A23,データ宅建業法!$A$2:$E$500,5,FALSE))</f>
        <v>500万</v>
      </c>
      <c r="H23" t="str">
        <f>IF($A23="","",VLOOKUP($A23,データ宅建業法!$A$2:$E$500,5,FALSE))</f>
        <v>500万</v>
      </c>
    </row>
    <row r="24" spans="1:8">
      <c r="A24" t="s">
        <v>81</v>
      </c>
      <c r="B24" t="str">
        <f>IF($A24="","",VLOOKUP($A24,データ宅建業法!$A$2:$E$500,3,FALSE))</f>
        <v>供託すればすぐ営業可能</v>
      </c>
      <c r="C24" t="str">
        <f>IF($A24="","",VLOOKUP($A24,データ宅建業法!$A$2:$E$500,4,FALSE))</f>
        <v>×</v>
      </c>
      <c r="D24" s="5"/>
      <c r="E24" s="5"/>
      <c r="F24" t="str">
        <f>IF($A24="","",VLOOKUP($A24,データ宅建業法!$A$2:$E$500,5,FALSE))</f>
        <v>届出必要</v>
      </c>
      <c r="H24" t="str">
        <f>IF($A24="","",VLOOKUP($A24,データ宅建業法!$A$2:$E$500,5,FALSE))</f>
        <v>届出必要</v>
      </c>
    </row>
    <row r="25" spans="1:8">
      <c r="A25" t="s">
        <v>82</v>
      </c>
      <c r="B25" t="str">
        <f>IF($A25="","",VLOOKUP($A25,データ宅建業法!$A$2:$E$500,3,FALSE))</f>
        <v>保証協会加入なら営業保証金不要</v>
      </c>
      <c r="C25" t="str">
        <f>IF($A25="","",VLOOKUP($A25,データ宅建業法!$A$2:$E$500,4,FALSE))</f>
        <v>○</v>
      </c>
      <c r="D25" s="5"/>
      <c r="E25" s="5"/>
      <c r="F25" t="str">
        <f>IF($A25="","",VLOOKUP($A25,データ宅建業法!$A$2:$E$500,5,FALSE))</f>
        <v>分担金制度</v>
      </c>
      <c r="H25" t="str">
        <f>IF($A25="","",VLOOKUP($A25,データ宅建業法!$A$2:$E$500,5,FALSE))</f>
        <v>分担金制度</v>
      </c>
    </row>
    <row r="26" spans="1:8">
      <c r="A26" t="s">
        <v>83</v>
      </c>
      <c r="B26" t="str">
        <f>IF($A26="","",VLOOKUP($A26,データ宅建業法!$A$2:$E$500,3,FALSE))</f>
        <v>保証協会は1業者2団体加入可能</v>
      </c>
      <c r="C26" t="str">
        <f>IF($A26="","",VLOOKUP($A26,データ宅建業法!$A$2:$E$500,4,FALSE))</f>
        <v>×</v>
      </c>
      <c r="D26" s="5"/>
      <c r="E26" s="5"/>
      <c r="F26" t="str">
        <f>IF($A26="","",VLOOKUP($A26,データ宅建業法!$A$2:$E$500,5,FALSE))</f>
        <v>1団体のみ</v>
      </c>
      <c r="H26" t="str">
        <f>IF($A26="","",VLOOKUP($A26,データ宅建業法!$A$2:$E$500,5,FALSE))</f>
        <v>1団体のみ</v>
      </c>
    </row>
    <row r="27" spans="1:8">
      <c r="A27" t="s">
        <v>84</v>
      </c>
      <c r="B27" t="str">
        <f>IF($A27="","",VLOOKUP($A27,データ宅建業法!$A$2:$E$500,3,FALSE))</f>
        <v>重要事項説明書は契約前に交付</v>
      </c>
      <c r="C27" t="str">
        <f>IF($A27="","",VLOOKUP($A27,データ宅建業法!$A$2:$E$500,4,FALSE))</f>
        <v>○</v>
      </c>
      <c r="D27" s="5"/>
      <c r="E27" s="5"/>
      <c r="F27" t="str">
        <f>IF($A27="","",VLOOKUP($A27,データ宅建業法!$A$2:$E$500,5,FALSE))</f>
        <v>契約前</v>
      </c>
      <c r="H27" t="str">
        <f>IF($A27="","",VLOOKUP($A27,データ宅建業法!$A$2:$E$500,5,FALSE))</f>
        <v>契約前</v>
      </c>
    </row>
    <row r="28" spans="1:8">
      <c r="A28" t="s">
        <v>85</v>
      </c>
      <c r="B28" t="str">
        <f>IF($A28="","",VLOOKUP($A28,データ宅建業法!$A$2:$E$500,3,FALSE))</f>
        <v>重要事項説明書は宅建士が説明</v>
      </c>
      <c r="C28" t="str">
        <f>IF($A28="","",VLOOKUP($A28,データ宅建業法!$A$2:$E$500,4,FALSE))</f>
        <v>○</v>
      </c>
      <c r="D28" s="5"/>
      <c r="E28" s="5"/>
      <c r="F28" t="str">
        <f>IF($A28="","",VLOOKUP($A28,データ宅建業法!$A$2:$E$500,5,FALSE))</f>
        <v>宅建士説明</v>
      </c>
      <c r="H28" t="str">
        <f>IF($A28="","",VLOOKUP($A28,データ宅建業法!$A$2:$E$500,5,FALSE))</f>
        <v>宅建士説明</v>
      </c>
    </row>
    <row r="29" spans="1:8">
      <c r="A29" t="s">
        <v>86</v>
      </c>
      <c r="B29" t="str">
        <f>IF($A29="","",VLOOKUP($A29,データ宅建業法!$A$2:$E$500,3,FALSE))</f>
        <v>重要事項説明は書面不要</v>
      </c>
      <c r="C29" t="str">
        <f>IF($A29="","",VLOOKUP($A29,データ宅建業法!$A$2:$E$500,4,FALSE))</f>
        <v>×</v>
      </c>
      <c r="D29" s="5"/>
      <c r="E29" s="5"/>
      <c r="F29" t="str">
        <f>IF($A29="","",VLOOKUP($A29,データ宅建業法!$A$2:$E$500,5,FALSE))</f>
        <v>書面必要</v>
      </c>
      <c r="H29" t="str">
        <f>IF($A29="","",VLOOKUP($A29,データ宅建業法!$A$2:$E$500,5,FALSE))</f>
        <v>書面必要</v>
      </c>
    </row>
    <row r="30" spans="1:8">
      <c r="A30" t="s">
        <v>87</v>
      </c>
      <c r="B30" t="str">
        <f>IF($A30="","",VLOOKUP($A30,データ宅建業法!$A$2:$E$500,3,FALSE))</f>
        <v>宅建士は記名押印必要</v>
      </c>
      <c r="C30" t="str">
        <f>IF($A30="","",VLOOKUP($A30,データ宅建業法!$A$2:$E$500,4,FALSE))</f>
        <v>○</v>
      </c>
      <c r="D30" s="5"/>
      <c r="E30" s="5"/>
      <c r="F30" t="str">
        <f>IF($A30="","",VLOOKUP($A30,データ宅建業法!$A$2:$E$500,5,FALSE))</f>
        <v>必要</v>
      </c>
      <c r="H30" t="str">
        <f>IF($A30="","",VLOOKUP($A30,データ宅建業法!$A$2:$E$500,5,FALSE))</f>
        <v>必要</v>
      </c>
    </row>
    <row r="31" spans="1:8">
      <c r="A31" t="s">
        <v>88</v>
      </c>
      <c r="B31" t="str">
        <f>IF($A31="","",VLOOKUP($A31,データ宅建業法!$A$2:$E$500,3,FALSE))</f>
        <v>説明はオンライン可能</v>
      </c>
      <c r="C31" t="str">
        <f>IF($A31="","",VLOOKUP($A31,データ宅建業法!$A$2:$E$500,4,FALSE))</f>
        <v>○</v>
      </c>
      <c r="D31" s="5"/>
      <c r="E31" s="5"/>
      <c r="F31" t="str">
        <f>IF($A31="","",VLOOKUP($A31,データ宅建業法!$A$2:$E$500,5,FALSE))</f>
        <v>一定条件で可能</v>
      </c>
      <c r="H31" t="str">
        <f>IF($A31="","",VLOOKUP($A31,データ宅建業法!$A$2:$E$500,5,FALSE))</f>
        <v>一定条件で可能</v>
      </c>
    </row>
    <row r="32" spans="1:8">
      <c r="A32" t="s">
        <v>89</v>
      </c>
      <c r="B32" t="str">
        <f>IF($A32="","",VLOOKUP($A32,データ宅建業法!$A$2:$E$500,3,FALSE))</f>
        <v>契約書は契約後交付</v>
      </c>
      <c r="C32" t="str">
        <f>IF($A32="","",VLOOKUP($A32,データ宅建業法!$A$2:$E$500,4,FALSE))</f>
        <v>○</v>
      </c>
      <c r="D32" s="5"/>
      <c r="E32" s="5"/>
      <c r="F32" t="str">
        <f>IF($A32="","",VLOOKUP($A32,データ宅建業法!$A$2:$E$500,5,FALSE))</f>
        <v>契約成立後</v>
      </c>
      <c r="H32" t="str">
        <f>IF($A32="","",VLOOKUP($A32,データ宅建業法!$A$2:$E$500,5,FALSE))</f>
        <v>契約成立後</v>
      </c>
    </row>
    <row r="33" spans="1:8">
      <c r="A33" t="s">
        <v>90</v>
      </c>
      <c r="B33" t="str">
        <f>IF($A33="","",VLOOKUP($A33,データ宅建業法!$A$2:$E$500,3,FALSE))</f>
        <v>宅建士の説明不要</v>
      </c>
      <c r="C33" t="str">
        <f>IF($A33="","",VLOOKUP($A33,データ宅建業法!$A$2:$E$500,4,FALSE))</f>
        <v>○</v>
      </c>
      <c r="D33" s="5"/>
      <c r="E33" s="5"/>
      <c r="F33" t="str">
        <f>IF($A33="","",VLOOKUP($A33,データ宅建業法!$A$2:$E$500,5,FALSE))</f>
        <v>説明不要</v>
      </c>
      <c r="H33" t="str">
        <f>IF($A33="","",VLOOKUP($A33,データ宅建業法!$A$2:$E$500,5,FALSE))</f>
        <v>説明不要</v>
      </c>
    </row>
    <row r="34" spans="1:8">
      <c r="A34" t="s">
        <v>91</v>
      </c>
      <c r="B34" t="str">
        <f>IF($A34="","",VLOOKUP($A34,データ宅建業法!$A$2:$E$500,3,FALSE))</f>
        <v>37条書面は記名押印必要</v>
      </c>
      <c r="C34" t="str">
        <f>IF($A34="","",VLOOKUP($A34,データ宅建業法!$A$2:$E$500,4,FALSE))</f>
        <v>○</v>
      </c>
      <c r="D34" s="5"/>
      <c r="E34" s="5"/>
      <c r="F34" t="str">
        <f>IF($A34="","",VLOOKUP($A34,データ宅建業法!$A$2:$E$500,5,FALSE))</f>
        <v>必要</v>
      </c>
      <c r="H34" t="str">
        <f>IF($A34="","",VLOOKUP($A34,データ宅建業法!$A$2:$E$500,5,FALSE))</f>
        <v>必要</v>
      </c>
    </row>
    <row r="35" spans="1:8">
      <c r="A35" t="s">
        <v>92</v>
      </c>
      <c r="B35" t="str">
        <f>IF($A35="","",VLOOKUP($A35,データ宅建業法!$A$2:$E$500,3,FALSE))</f>
        <v>37条書面は契約前交付</v>
      </c>
      <c r="C35" t="str">
        <f>IF($A35="","",VLOOKUP($A35,データ宅建業法!$A$2:$E$500,4,FALSE))</f>
        <v>×</v>
      </c>
      <c r="D35" s="5"/>
      <c r="E35" s="5"/>
      <c r="F35" t="str">
        <f>IF($A35="","",VLOOKUP($A35,データ宅建業法!$A$2:$E$500,5,FALSE))</f>
        <v>契約後</v>
      </c>
      <c r="H35" t="str">
        <f>IF($A35="","",VLOOKUP($A35,データ宅建業法!$A$2:$E$500,5,FALSE))</f>
        <v>契約後</v>
      </c>
    </row>
    <row r="36" spans="1:8">
      <c r="A36" t="s">
        <v>93</v>
      </c>
      <c r="B36" t="str">
        <f>IF($A36="","",VLOOKUP($A36,データ宅建業法!$A$2:$E$500,3,FALSE))</f>
        <v>売買契約で必要</v>
      </c>
      <c r="C36" t="str">
        <f>IF($A36="","",VLOOKUP($A36,データ宅建業法!$A$2:$E$500,4,FALSE))</f>
        <v>○</v>
      </c>
      <c r="D36" s="5"/>
      <c r="E36" s="5"/>
      <c r="F36" t="str">
        <f>IF($A36="","",VLOOKUP($A36,データ宅建業法!$A$2:$E$500,5,FALSE))</f>
        <v>必要</v>
      </c>
      <c r="H36" t="str">
        <f>IF($A36="","",VLOOKUP($A36,データ宅建業法!$A$2:$E$500,5,FALSE))</f>
        <v>必要</v>
      </c>
    </row>
    <row r="37" spans="1:8">
      <c r="A37" t="s">
        <v>94</v>
      </c>
      <c r="B37" t="str">
        <f>IF($A37="","",VLOOKUP($A37,データ宅建業法!$A$2:$E$500,3,FALSE))</f>
        <v>誇大広告は禁止</v>
      </c>
      <c r="C37" t="str">
        <f>IF($A37="","",VLOOKUP($A37,データ宅建業法!$A$2:$E$500,4,FALSE))</f>
        <v>○</v>
      </c>
      <c r="D37" s="5"/>
      <c r="E37" s="5"/>
      <c r="F37" t="str">
        <f>IF($A37="","",VLOOKUP($A37,データ宅建業法!$A$2:$E$500,5,FALSE))</f>
        <v>禁止</v>
      </c>
      <c r="H37" t="str">
        <f>IF($A37="","",VLOOKUP($A37,データ宅建業法!$A$2:$E$500,5,FALSE))</f>
        <v>禁止</v>
      </c>
    </row>
    <row r="38" spans="1:8">
      <c r="A38" t="s">
        <v>95</v>
      </c>
      <c r="B38" t="str">
        <f>IF($A38="","",VLOOKUP($A38,データ宅建業法!$A$2:$E$500,3,FALSE))</f>
        <v>未完成物件は確認後広告可能</v>
      </c>
      <c r="C38" t="str">
        <f>IF($A38="","",VLOOKUP($A38,データ宅建業法!$A$2:$E$500,4,FALSE))</f>
        <v>○</v>
      </c>
      <c r="D38" s="5"/>
      <c r="E38" s="5"/>
      <c r="F38" t="str">
        <f>IF($A38="","",VLOOKUP($A38,データ宅建業法!$A$2:$E$500,5,FALSE))</f>
        <v>必要</v>
      </c>
      <c r="H38" t="str">
        <f>IF($A38="","",VLOOKUP($A38,データ宅建業法!$A$2:$E$500,5,FALSE))</f>
        <v>必要</v>
      </c>
    </row>
    <row r="39" spans="1:8">
      <c r="A39" t="s">
        <v>96</v>
      </c>
      <c r="B39" t="str">
        <f>IF($A39="","",VLOOKUP($A39,データ宅建業法!$A$2:$E$500,3,FALSE))</f>
        <v>宅建業免許番号表示必要</v>
      </c>
      <c r="C39" t="str">
        <f>IF($A39="","",VLOOKUP($A39,データ宅建業法!$A$2:$E$500,4,FALSE))</f>
        <v>○</v>
      </c>
      <c r="D39" s="5"/>
      <c r="E39" s="5"/>
      <c r="F39" t="str">
        <f>IF($A39="","",VLOOKUP($A39,データ宅建業法!$A$2:$E$500,5,FALSE))</f>
        <v>必要</v>
      </c>
      <c r="H39" t="str">
        <f>IF($A39="","",VLOOKUP($A39,データ宅建業法!$A$2:$E$500,5,FALSE))</f>
        <v>必要</v>
      </c>
    </row>
    <row r="40" spans="1:8">
      <c r="A40" t="s">
        <v>97</v>
      </c>
      <c r="B40" t="str">
        <f>IF($A40="","",VLOOKUP($A40,データ宅建業法!$A$2:$E$500,3,FALSE))</f>
        <v>虚偽広告は禁止</v>
      </c>
      <c r="C40" t="str">
        <f>IF($A40="","",VLOOKUP($A40,データ宅建業法!$A$2:$E$500,4,FALSE))</f>
        <v>○</v>
      </c>
      <c r="D40" s="5"/>
      <c r="E40" s="5"/>
      <c r="F40" t="str">
        <f>IF($A40="","",VLOOKUP($A40,データ宅建業法!$A$2:$E$500,5,FALSE))</f>
        <v>禁止</v>
      </c>
      <c r="H40" t="str">
        <f>IF($A40="","",VLOOKUP($A40,データ宅建業法!$A$2:$E$500,5,FALSE))</f>
        <v>禁止</v>
      </c>
    </row>
    <row r="41" spans="1:8">
      <c r="A41" t="s">
        <v>98</v>
      </c>
      <c r="B41" t="str">
        <f>IF($A41="","",VLOOKUP($A41,データ宅建業法!$A$2:$E$500,3,FALSE))</f>
        <v>広告時期制限あり</v>
      </c>
      <c r="C41" t="str">
        <f>IF($A41="","",VLOOKUP($A41,データ宅建業法!$A$2:$E$500,4,FALSE))</f>
        <v>○</v>
      </c>
      <c r="D41" s="5"/>
      <c r="E41" s="5"/>
      <c r="F41" t="str">
        <f>IF($A41="","",VLOOKUP($A41,データ宅建業法!$A$2:$E$500,5,FALSE))</f>
        <v>ある</v>
      </c>
      <c r="H41" t="str">
        <f>IF($A41="","",VLOOKUP($A41,データ宅建業法!$A$2:$E$500,5,FALSE))</f>
        <v>ある</v>
      </c>
    </row>
    <row r="42" spans="1:8">
      <c r="A42" t="s">
        <v>99</v>
      </c>
      <c r="B42" t="str">
        <f>IF($A42="","",VLOOKUP($A42,データ宅建業法!$A$2:$E$500,3,FALSE))</f>
        <v>専属専任媒介契約は自己発見取引不可</v>
      </c>
      <c r="C42" t="str">
        <f>IF($A42="","",VLOOKUP($A42,データ宅建業法!$A$2:$E$500,4,FALSE))</f>
        <v>○</v>
      </c>
      <c r="D42" s="5"/>
      <c r="E42" s="5"/>
      <c r="F42" t="str">
        <f>IF($A42="","",VLOOKUP($A42,データ宅建業法!$A$2:$E$500,5,FALSE))</f>
        <v>不可</v>
      </c>
      <c r="H42" t="str">
        <f>IF($A42="","",VLOOKUP($A42,データ宅建業法!$A$2:$E$500,5,FALSE))</f>
        <v>不可</v>
      </c>
    </row>
    <row r="43" spans="1:8">
      <c r="A43" t="s">
        <v>101</v>
      </c>
      <c r="B43" t="str">
        <f>IF($A43="","",VLOOKUP($A43,データ宅建業法!$A$2:$E$500,3,FALSE))</f>
        <v>専任媒介契約は自己発見可能</v>
      </c>
      <c r="C43" t="str">
        <f>IF($A43="","",VLOOKUP($A43,データ宅建業法!$A$2:$E$500,4,FALSE))</f>
        <v>○</v>
      </c>
      <c r="D43" s="5"/>
      <c r="E43" s="5"/>
      <c r="F43" t="str">
        <f>IF($A43="","",VLOOKUP($A43,データ宅建業法!$A$2:$E$500,5,FALSE))</f>
        <v>可能</v>
      </c>
      <c r="H43" t="str">
        <f>IF($A43="","",VLOOKUP($A43,データ宅建業法!$A$2:$E$500,5,FALSE))</f>
        <v>可能</v>
      </c>
    </row>
    <row r="44" spans="1:8">
      <c r="A44" t="s">
        <v>102</v>
      </c>
      <c r="B44" t="str">
        <f>IF($A44="","",VLOOKUP($A44,データ宅建業法!$A$2:$E$500,3,FALSE))</f>
        <v>一般媒介契約は複数契約可能</v>
      </c>
      <c r="C44" t="str">
        <f>IF($A44="","",VLOOKUP($A44,データ宅建業法!$A$2:$E$500,4,FALSE))</f>
        <v>○</v>
      </c>
      <c r="D44" s="5"/>
      <c r="E44" s="5"/>
      <c r="F44" t="str">
        <f>IF($A44="","",VLOOKUP($A44,データ宅建業法!$A$2:$E$500,5,FALSE))</f>
        <v>可能</v>
      </c>
      <c r="H44" t="str">
        <f>IF($A44="","",VLOOKUP($A44,データ宅建業法!$A$2:$E$500,5,FALSE))</f>
        <v>可能</v>
      </c>
    </row>
    <row r="45" spans="1:8">
      <c r="A45" t="s">
        <v>103</v>
      </c>
      <c r="B45" t="str">
        <f>IF($A45="","",VLOOKUP($A45,データ宅建業法!$A$2:$E$500,3,FALSE))</f>
        <v>専属専任媒介は1週間報告義務</v>
      </c>
      <c r="C45" t="str">
        <f>IF($A45="","",VLOOKUP($A45,データ宅建業法!$A$2:$E$500,4,FALSE))</f>
        <v>○</v>
      </c>
      <c r="D45" s="5"/>
      <c r="E45" s="5"/>
      <c r="F45" t="str">
        <f>IF($A45="","",VLOOKUP($A45,データ宅建業法!$A$2:$E$500,5,FALSE))</f>
        <v>あり</v>
      </c>
      <c r="H45" t="str">
        <f>IF($A45="","",VLOOKUP($A45,データ宅建業法!$A$2:$E$500,5,FALSE))</f>
        <v>あり</v>
      </c>
    </row>
    <row r="46" spans="1:8">
      <c r="A46" t="s">
        <v>104</v>
      </c>
      <c r="B46" t="str">
        <f>IF($A46="","",VLOOKUP($A46,データ宅建業法!$A$2:$E$500,3,FALSE))</f>
        <v>専任媒介は2週間報告義務</v>
      </c>
      <c r="C46" t="str">
        <f>IF($A46="","",VLOOKUP($A46,データ宅建業法!$A$2:$E$500,4,FALSE))</f>
        <v>○</v>
      </c>
      <c r="D46" s="5"/>
      <c r="E46" s="5"/>
      <c r="F46" t="str">
        <f>IF($A46="","",VLOOKUP($A46,データ宅建業法!$A$2:$E$500,5,FALSE))</f>
        <v>あり</v>
      </c>
      <c r="H46" t="str">
        <f>IF($A46="","",VLOOKUP($A46,データ宅建業法!$A$2:$E$500,5,FALSE))</f>
        <v>あり</v>
      </c>
    </row>
    <row r="47" spans="1:8">
      <c r="A47" t="s">
        <v>105</v>
      </c>
      <c r="B47" t="str">
        <f>IF($A47="","",VLOOKUP($A47,データ宅建業法!$A$2:$E$500,3,FALSE))</f>
        <v>手付金は20％以内</v>
      </c>
      <c r="C47" t="str">
        <f>IF($A47="","",VLOOKUP($A47,データ宅建業法!$A$2:$E$500,4,FALSE))</f>
        <v>○</v>
      </c>
      <c r="D47" s="5"/>
      <c r="E47" s="5"/>
      <c r="F47" t="str">
        <f>IF($A47="","",VLOOKUP($A47,データ宅建業法!$A$2:$E$500,5,FALSE))</f>
        <v>20％以内</v>
      </c>
      <c r="H47" t="str">
        <f>IF($A47="","",VLOOKUP($A47,データ宅建業法!$A$2:$E$500,5,FALSE))</f>
        <v>20％以内</v>
      </c>
    </row>
    <row r="48" spans="1:8">
      <c r="A48" t="s">
        <v>106</v>
      </c>
      <c r="B48" t="str">
        <f>IF($A48="","",VLOOKUP($A48,データ宅建業法!$A$2:$E$500,3,FALSE))</f>
        <v>クーリングオフ制度あり</v>
      </c>
      <c r="C48" t="str">
        <f>IF($A48="","",VLOOKUP($A48,データ宅建業法!$A$2:$E$500,4,FALSE))</f>
        <v>○</v>
      </c>
      <c r="D48" s="5"/>
      <c r="E48" s="5"/>
      <c r="F48" t="str">
        <f>IF($A48="","",VLOOKUP($A48,データ宅建業法!$A$2:$E$500,5,FALSE))</f>
        <v>あり</v>
      </c>
      <c r="H48" t="str">
        <f>IF($A48="","",VLOOKUP($A48,データ宅建業法!$A$2:$E$500,5,FALSE))</f>
        <v>あり</v>
      </c>
    </row>
    <row r="49" spans="1:8">
      <c r="A49" t="s">
        <v>107</v>
      </c>
      <c r="B49" t="str">
        <f>IF($A49="","",VLOOKUP($A49,データ宅建業法!$A$2:$E$500,3,FALSE))</f>
        <v>損害賠償予定は20％以内</v>
      </c>
      <c r="C49" t="str">
        <f>IF($A49="","",VLOOKUP($A49,データ宅建業法!$A$2:$E$500,4,FALSE))</f>
        <v>○</v>
      </c>
      <c r="D49" s="5"/>
      <c r="E49" s="5"/>
      <c r="F49" t="str">
        <f>IF($A49="","",VLOOKUP($A49,データ宅建業法!$A$2:$E$500,5,FALSE))</f>
        <v>以内</v>
      </c>
      <c r="H49" t="str">
        <f>IF($A49="","",VLOOKUP($A49,データ宅建業法!$A$2:$E$500,5,FALSE))</f>
        <v>以内</v>
      </c>
    </row>
    <row r="50" spans="1:8">
      <c r="A50" t="s">
        <v>108</v>
      </c>
      <c r="B50" t="str">
        <f>IF($A50="","",VLOOKUP($A50,データ宅建業法!$A$2:$E$500,3,FALSE))</f>
        <v>手付解除可能</v>
      </c>
      <c r="C50" t="str">
        <f>IF($A50="","",VLOOKUP($A50,データ宅建業法!$A$2:$E$500,4,FALSE))</f>
        <v>○</v>
      </c>
      <c r="D50" s="5"/>
      <c r="E50" s="5"/>
      <c r="F50" t="str">
        <f>IF($A50="","",VLOOKUP($A50,データ宅建業法!$A$2:$E$500,5,FALSE))</f>
        <v>可能</v>
      </c>
      <c r="H50" t="str">
        <f>IF($A50="","",VLOOKUP($A50,データ宅建業法!$A$2:$E$500,5,FALSE))</f>
        <v>可能</v>
      </c>
    </row>
    <row r="51" spans="1:8">
      <c r="A51" t="s">
        <v>109</v>
      </c>
      <c r="B51" t="str">
        <f>IF($A51="","",VLOOKUP($A51,データ宅建業法!$A$2:$E$500,3,FALSE))</f>
        <v>完成物件でも適用</v>
      </c>
      <c r="C51" t="str">
        <f>IF($A51="","",VLOOKUP($A51,データ宅建業法!$A$2:$E$500,4,FALSE))</f>
        <v>×</v>
      </c>
      <c r="D51" s="5"/>
      <c r="E51" s="5"/>
      <c r="F51" t="str">
        <f>IF($A51="","",VLOOKUP($A51,データ宅建業法!$A$2:$E$500,5,FALSE))</f>
        <v>業者売主のみ</v>
      </c>
      <c r="H51" t="str">
        <f>IF($A51="","",VLOOKUP($A51,データ宅建業法!$A$2:$E$500,5,FALSE))</f>
        <v>業者売主のみ</v>
      </c>
    </row>
    <row r="52" spans="1:8">
      <c r="A52" t="s">
        <v>110</v>
      </c>
      <c r="B52" t="str">
        <f>IF($A52="","",VLOOKUP($A52,データ宅建業法!$A$2:$E$500,3,FALSE))</f>
        <v>売買仲介報酬上限あり</v>
      </c>
      <c r="C52" t="str">
        <f>IF($A52="","",VLOOKUP($A52,データ宅建業法!$A$2:$E$500,4,FALSE))</f>
        <v>○</v>
      </c>
      <c r="D52" s="5"/>
      <c r="E52" s="5"/>
      <c r="F52" t="str">
        <f>IF($A52="","",VLOOKUP($A52,データ宅建業法!$A$2:$E$500,5,FALSE))</f>
        <v>ある</v>
      </c>
      <c r="H52" t="str">
        <f>IF($A52="","",VLOOKUP($A52,データ宅建業法!$A$2:$E$500,5,FALSE))</f>
        <v>ある</v>
      </c>
    </row>
    <row r="53" spans="1:8">
      <c r="A53" t="s">
        <v>112</v>
      </c>
      <c r="B53" t="str">
        <f>IF($A53="","",VLOOKUP($A53,データ宅建業法!$A$2:$E$500,3,FALSE))</f>
        <v>貸借仲介報酬上限あり</v>
      </c>
      <c r="C53" t="str">
        <f>IF($A53="","",VLOOKUP($A53,データ宅建業法!$A$2:$E$500,4,FALSE))</f>
        <v>○</v>
      </c>
      <c r="D53" s="5"/>
      <c r="E53" s="5"/>
      <c r="F53" t="str">
        <f>IF($A53="","",VLOOKUP($A53,データ宅建業法!$A$2:$E$500,5,FALSE))</f>
        <v>ある</v>
      </c>
      <c r="H53" t="str">
        <f>IF($A53="","",VLOOKUP($A53,データ宅建業法!$A$2:$E$500,5,FALSE))</f>
        <v>ある</v>
      </c>
    </row>
    <row r="54" spans="1:8">
      <c r="A54" t="s">
        <v>113</v>
      </c>
      <c r="B54" t="str">
        <f>IF($A54="","",VLOOKUP($A54,データ宅建業法!$A$2:$E$500,3,FALSE))</f>
        <v>成功報酬方式</v>
      </c>
      <c r="C54" t="str">
        <f>IF($A54="","",VLOOKUP($A54,データ宅建業法!$A$2:$E$500,4,FALSE))</f>
        <v>○</v>
      </c>
      <c r="D54" s="5"/>
      <c r="E54" s="5"/>
      <c r="F54" t="str">
        <f>IF($A54="","",VLOOKUP($A54,データ宅建業法!$A$2:$E$500,5,FALSE))</f>
        <v>成立時</v>
      </c>
      <c r="H54" t="str">
        <f>IF($A54="","",VLOOKUP($A54,データ宅建業法!$A$2:$E$500,5,FALSE))</f>
        <v>成立時</v>
      </c>
    </row>
    <row r="55" spans="1:8">
      <c r="A55" t="s">
        <v>114</v>
      </c>
      <c r="B55" t="str">
        <f>IF($A55="","",VLOOKUP($A55,データ宅建業法!$A$2:$E$500,3,FALSE))</f>
        <v>報酬額は国交省告示</v>
      </c>
      <c r="C55" t="str">
        <f>IF($A55="","",VLOOKUP($A55,データ宅建業法!$A$2:$E$500,4,FALSE))</f>
        <v>○</v>
      </c>
      <c r="D55" s="5"/>
      <c r="E55" s="5"/>
      <c r="F55" t="str">
        <f>IF($A55="","",VLOOKUP($A55,データ宅建業法!$A$2:$E$500,5,FALSE))</f>
        <v>告示</v>
      </c>
      <c r="H55" t="str">
        <f>IF($A55="","",VLOOKUP($A55,データ宅建業法!$A$2:$E$500,5,FALSE))</f>
        <v>告示</v>
      </c>
    </row>
    <row r="56" spans="1:8">
      <c r="A56" t="s">
        <v>115</v>
      </c>
      <c r="B56" t="str">
        <f>IF($A56="","",VLOOKUP($A56,データ宅建業法!$A$2:$E$500,3,FALSE))</f>
        <v>報酬は自由設定可能</v>
      </c>
      <c r="C56" t="str">
        <f>IF($A56="","",VLOOKUP($A56,データ宅建業法!$A$2:$E$500,4,FALSE))</f>
        <v>×</v>
      </c>
      <c r="D56" s="5"/>
      <c r="E56" s="5"/>
      <c r="F56" t="str">
        <f>IF($A56="","",VLOOKUP($A56,データ宅建業法!$A$2:$E$500,5,FALSE))</f>
        <v>上限あり</v>
      </c>
      <c r="H56" t="str">
        <f>IF($A56="","",VLOOKUP($A56,データ宅建業法!$A$2:$E$500,5,FALSE))</f>
        <v>上限あり</v>
      </c>
    </row>
    <row r="57" spans="1:8">
      <c r="A57" t="s">
        <v>116</v>
      </c>
      <c r="B57" t="str">
        <f>IF($A57="","",VLOOKUP($A57,データ宅建業法!$A$2:$E$500,3,FALSE))</f>
        <v>業務停止処分あり</v>
      </c>
      <c r="C57" t="str">
        <f>IF($A57="","",VLOOKUP($A57,データ宅建業法!$A$2:$E$500,4,FALSE))</f>
        <v>○</v>
      </c>
      <c r="D57" s="5"/>
      <c r="E57" s="5"/>
      <c r="F57" t="str">
        <f>IF($A57="","",VLOOKUP($A57,データ宅建業法!$A$2:$E$500,5,FALSE))</f>
        <v>あり</v>
      </c>
      <c r="H57" t="str">
        <f>IF($A57="","",VLOOKUP($A57,データ宅建業法!$A$2:$E$500,5,FALSE))</f>
        <v>あり</v>
      </c>
    </row>
    <row r="58" spans="1:8">
      <c r="A58" t="s">
        <v>117</v>
      </c>
      <c r="B58" t="str">
        <f>IF($A58="","",VLOOKUP($A58,データ宅建業法!$A$2:$E$500,3,FALSE))</f>
        <v>免許取消処分あり</v>
      </c>
      <c r="C58" t="str">
        <f>IF($A58="","",VLOOKUP($A58,データ宅建業法!$A$2:$E$500,4,FALSE))</f>
        <v>○</v>
      </c>
      <c r="D58" s="5"/>
      <c r="E58" s="5"/>
      <c r="F58" t="str">
        <f>IF($A58="","",VLOOKUP($A58,データ宅建業法!$A$2:$E$500,5,FALSE))</f>
        <v>あり</v>
      </c>
      <c r="H58" t="str">
        <f>IF($A58="","",VLOOKUP($A58,データ宅建業法!$A$2:$E$500,5,FALSE))</f>
        <v>あり</v>
      </c>
    </row>
    <row r="59" spans="1:8">
      <c r="A59" t="s">
        <v>118</v>
      </c>
      <c r="B59" t="str">
        <f>IF($A59="","",VLOOKUP($A59,データ宅建業法!$A$2:$E$500,3,FALSE))</f>
        <v>指示処分あり</v>
      </c>
      <c r="C59" t="str">
        <f>IF($A59="","",VLOOKUP($A59,データ宅建業法!$A$2:$E$500,4,FALSE))</f>
        <v>○</v>
      </c>
      <c r="D59" s="5"/>
      <c r="E59" s="5"/>
      <c r="F59" t="str">
        <f>IF($A59="","",VLOOKUP($A59,データ宅建業法!$A$2:$E$500,5,FALSE))</f>
        <v>あり</v>
      </c>
      <c r="H59" t="str">
        <f>IF($A59="","",VLOOKUP($A59,データ宅建業法!$A$2:$E$500,5,FALSE))</f>
        <v>あり</v>
      </c>
    </row>
    <row r="60" spans="1:8">
      <c r="A60" t="s">
        <v>119</v>
      </c>
      <c r="B60" t="str">
        <f>IF($A60="","",VLOOKUP($A60,データ宅建業法!$A$2:$E$500,3,FALSE))</f>
        <v>免許取消は知事のみ</v>
      </c>
      <c r="C60" t="str">
        <f>IF($A60="","",VLOOKUP($A60,データ宅建業法!$A$2:$E$500,4,FALSE))</f>
        <v>×</v>
      </c>
      <c r="D60" s="5"/>
      <c r="E60" s="5"/>
      <c r="F60" t="str">
        <f>IF($A60="","",VLOOKUP($A60,データ宅建業法!$A$2:$E$500,5,FALSE))</f>
        <v>大臣も可</v>
      </c>
      <c r="H60" t="str">
        <f>IF($A60="","",VLOOKUP($A60,データ宅建業法!$A$2:$E$500,5,FALSE))</f>
        <v>大臣も可</v>
      </c>
    </row>
    <row r="61" spans="1:8">
      <c r="A61" t="s">
        <v>120</v>
      </c>
      <c r="B61" t="str">
        <f>IF($A61="","",VLOOKUP($A61,データ宅建業法!$A$2:$E$500,3,FALSE))</f>
        <v>行政処分あり</v>
      </c>
      <c r="C61" t="str">
        <f>IF($A61="","",VLOOKUP($A61,データ宅建業法!$A$2:$E$500,4,FALSE))</f>
        <v>○</v>
      </c>
      <c r="D61" s="5"/>
      <c r="E61" s="5"/>
      <c r="F61" t="str">
        <f>IF($A61="","",VLOOKUP($A61,データ宅建業法!$A$2:$E$500,5,FALSE))</f>
        <v>あり</v>
      </c>
      <c r="H61" t="str">
        <f>IF($A61="","",VLOOKUP($A61,データ宅建業法!$A$2:$E$500,5,FALSE))</f>
        <v>あり</v>
      </c>
    </row>
    <row r="62" spans="1:8">
      <c r="A62" t="s">
        <v>121</v>
      </c>
      <c r="B62" t="str">
        <f>IF($A62="","",VLOOKUP($A62,データ宅建業法!$A$2:$E$500,3,FALSE))</f>
        <v>無免許営業は罰則あり</v>
      </c>
      <c r="C62" t="str">
        <f>IF($A62="","",VLOOKUP($A62,データ宅建業法!$A$2:$E$500,4,FALSE))</f>
        <v>○</v>
      </c>
      <c r="D62" s="5"/>
      <c r="E62" s="5"/>
      <c r="F62" t="str">
        <f>IF($A62="","",VLOOKUP($A62,データ宅建業法!$A$2:$E$500,5,FALSE))</f>
        <v>あり</v>
      </c>
      <c r="H62" t="str">
        <f>IF($A62="","",VLOOKUP($A62,データ宅建業法!$A$2:$E$500,5,FALSE))</f>
        <v>あり</v>
      </c>
    </row>
    <row r="63" spans="1:8">
      <c r="A63" t="s">
        <v>123</v>
      </c>
      <c r="B63" t="str">
        <f>IF($A63="","",VLOOKUP($A63,データ宅建業法!$A$2:$E$500,3,FALSE))</f>
        <v>不正免許取得は罰則あり</v>
      </c>
      <c r="C63" t="str">
        <f>IF($A63="","",VLOOKUP($A63,データ宅建業法!$A$2:$E$500,4,FALSE))</f>
        <v>○</v>
      </c>
      <c r="D63" s="5"/>
      <c r="E63" s="5"/>
      <c r="F63" t="str">
        <f>IF($A63="","",VLOOKUP($A63,データ宅建業法!$A$2:$E$500,5,FALSE))</f>
        <v>あり</v>
      </c>
      <c r="H63" t="str">
        <f>IF($A63="","",VLOOKUP($A63,データ宅建業法!$A$2:$E$500,5,FALSE))</f>
        <v>あり</v>
      </c>
    </row>
    <row r="64" spans="1:8">
      <c r="A64" t="s">
        <v>124</v>
      </c>
      <c r="B64" t="str">
        <f>IF($A64="","",VLOOKUP($A64,データ宅建業法!$A$2:$E$500,3,FALSE))</f>
        <v>虚偽広告罰則あり</v>
      </c>
      <c r="C64" t="str">
        <f>IF($A64="","",VLOOKUP($A64,データ宅建業法!$A$2:$E$500,4,FALSE))</f>
        <v>○</v>
      </c>
      <c r="D64" s="5"/>
      <c r="E64" s="5"/>
      <c r="F64" t="str">
        <f>IF($A64="","",VLOOKUP($A64,データ宅建業法!$A$2:$E$500,5,FALSE))</f>
        <v>あり</v>
      </c>
      <c r="H64" t="str">
        <f>IF($A64="","",VLOOKUP($A64,データ宅建業法!$A$2:$E$500,5,FALSE))</f>
        <v>あり</v>
      </c>
    </row>
    <row r="65" spans="1:8">
      <c r="A65" t="s">
        <v>125</v>
      </c>
      <c r="B65" t="str">
        <f>IF($A65="","",VLOOKUP($A65,データ宅建業法!$A$2:$E$500,3,FALSE))</f>
        <v>名義貸し罰則あり</v>
      </c>
      <c r="C65" t="str">
        <f>IF($A65="","",VLOOKUP($A65,データ宅建業法!$A$2:$E$500,4,FALSE))</f>
        <v>○</v>
      </c>
      <c r="D65" s="5"/>
      <c r="E65" s="5"/>
      <c r="F65" t="str">
        <f>IF($A65="","",VLOOKUP($A65,データ宅建業法!$A$2:$E$500,5,FALSE))</f>
        <v>あり</v>
      </c>
      <c r="H65" t="str">
        <f>IF($A65="","",VLOOKUP($A65,データ宅建業法!$A$2:$E$500,5,FALSE))</f>
        <v>あり</v>
      </c>
    </row>
    <row r="66" spans="1:8">
      <c r="A66" t="s">
        <v>126</v>
      </c>
      <c r="B66" t="str">
        <f>IF($A66="","",VLOOKUP($A66,データ宅建業法!$A$2:$E$500,3,FALSE))</f>
        <v>宅建士証不携帯罰則あり</v>
      </c>
      <c r="C66" t="str">
        <f>IF($A66="","",VLOOKUP($A66,データ宅建業法!$A$2:$E$500,4,FALSE))</f>
        <v>○</v>
      </c>
      <c r="D66" s="5"/>
      <c r="E66" s="5"/>
      <c r="F66" t="str">
        <f>IF($A66="","",VLOOKUP($A66,データ宅建業法!$A$2:$E$500,5,FALSE))</f>
        <v>あり</v>
      </c>
      <c r="H66" t="str">
        <f>IF($A66="","",VLOOKUP($A66,データ宅建業法!$A$2:$E$500,5,FALSE))</f>
        <v>あり</v>
      </c>
    </row>
    <row r="67" spans="1:8">
      <c r="A67" t="s">
        <v>127</v>
      </c>
      <c r="B67" t="str">
        <f>IF($A67="","",VLOOKUP($A67,データ宅建業法!$A$2:$E$500,3,FALSE))</f>
        <v>宅建士証提示義務あり</v>
      </c>
      <c r="C67" t="str">
        <f>IF($A67="","",VLOOKUP($A67,データ宅建業法!$A$2:$E$500,4,FALSE))</f>
        <v>○</v>
      </c>
      <c r="D67" s="5"/>
      <c r="E67" s="5"/>
      <c r="F67" t="str">
        <f>IF($A67="","",VLOOKUP($A67,データ宅建業法!$A$2:$E$500,5,FALSE))</f>
        <v>提示</v>
      </c>
      <c r="H67" t="str">
        <f>IF($A67="","",VLOOKUP($A67,データ宅建業法!$A$2:$E$500,5,FALSE))</f>
        <v>提示</v>
      </c>
    </row>
    <row r="68" spans="1:8">
      <c r="A68" t="s">
        <v>128</v>
      </c>
      <c r="B68" t="str">
        <f>IF($A68="","",VLOOKUP($A68,データ宅建業法!$A$2:$E$500,3,FALSE))</f>
        <v>宅建士証携帯義務あり</v>
      </c>
      <c r="C68" t="str">
        <f>IF($A68="","",VLOOKUP($A68,データ宅建業法!$A$2:$E$500,4,FALSE))</f>
        <v>○</v>
      </c>
      <c r="D68" s="5"/>
      <c r="E68" s="5"/>
      <c r="F68" t="str">
        <f>IF($A68="","",VLOOKUP($A68,データ宅建業法!$A$2:$E$500,5,FALSE))</f>
        <v>携帯</v>
      </c>
      <c r="H68" t="str">
        <f>IF($A68="","",VLOOKUP($A68,データ宅建業法!$A$2:$E$500,5,FALSE))</f>
        <v>携帯</v>
      </c>
    </row>
    <row r="69" spans="1:8">
      <c r="A69" t="s">
        <v>129</v>
      </c>
      <c r="B69" t="str">
        <f>IF($A69="","",VLOOKUP($A69,データ宅建業法!$A$2:$E$500,3,FALSE))</f>
        <v>宅建士は独占業務あり</v>
      </c>
      <c r="C69" t="str">
        <f>IF($A69="","",VLOOKUP($A69,データ宅建業法!$A$2:$E$500,4,FALSE))</f>
        <v>○</v>
      </c>
      <c r="D69" s="5"/>
      <c r="E69" s="5"/>
      <c r="F69" t="str">
        <f>IF($A69="","",VLOOKUP($A69,データ宅建業法!$A$2:$E$500,5,FALSE))</f>
        <v>あり</v>
      </c>
      <c r="H69" t="str">
        <f>IF($A69="","",VLOOKUP($A69,データ宅建業法!$A$2:$E$500,5,FALSE))</f>
        <v>あり</v>
      </c>
    </row>
    <row r="70" spans="1:8">
      <c r="A70" t="s">
        <v>130</v>
      </c>
      <c r="B70" t="str">
        <f>IF($A70="","",VLOOKUP($A70,データ宅建業法!$A$2:$E$500,3,FALSE))</f>
        <v>宅建士登録必要</v>
      </c>
      <c r="C70" t="str">
        <f>IF($A70="","",VLOOKUP($A70,データ宅建業法!$A$2:$E$500,4,FALSE))</f>
        <v>○</v>
      </c>
      <c r="D70" s="5"/>
      <c r="E70" s="5"/>
      <c r="F70" t="str">
        <f>IF($A70="","",VLOOKUP($A70,データ宅建業法!$A$2:$E$500,5,FALSE))</f>
        <v>必要</v>
      </c>
      <c r="H70" t="str">
        <f>IF($A70="","",VLOOKUP($A70,データ宅建業法!$A$2:$E$500,5,FALSE))</f>
        <v>必要</v>
      </c>
    </row>
    <row r="71" spans="1:8">
      <c r="A71" t="s">
        <v>131</v>
      </c>
      <c r="B71" t="str">
        <f>IF($A71="","",VLOOKUP($A71,データ宅建業法!$A$2:$E$500,3,FALSE))</f>
        <v>宅建士は登録消除あり</v>
      </c>
      <c r="C71" t="str">
        <f>IF($A71="","",VLOOKUP($A71,データ宅建業法!$A$2:$E$500,4,FALSE))</f>
        <v>○</v>
      </c>
      <c r="D71" s="5"/>
      <c r="E71" s="5"/>
      <c r="F71" t="str">
        <f>IF($A71="","",VLOOKUP($A71,データ宅建業法!$A$2:$E$500,5,FALSE))</f>
        <v>あり</v>
      </c>
      <c r="H71" t="str">
        <f>IF($A71="","",VLOOKUP($A71,データ宅建業法!$A$2:$E$500,5,FALSE))</f>
        <v>あり</v>
      </c>
    </row>
    <row r="72" spans="1:8">
      <c r="A72" t="s">
        <v>132</v>
      </c>
      <c r="B72" t="str">
        <f>IF($A72="","",VLOOKUP($A72,データ宅建業法!$A$2:$E$500,3,FALSE))</f>
        <v>免許申請書公示あり</v>
      </c>
      <c r="C72" t="str">
        <f>IF($A72="","",VLOOKUP($A72,データ宅建業法!$A$2:$E$500,4,FALSE))</f>
        <v>○</v>
      </c>
      <c r="D72" s="5"/>
      <c r="E72" s="5"/>
      <c r="F72" t="str">
        <f>IF($A72="","",VLOOKUP($A72,データ宅建業法!$A$2:$E$500,5,FALSE))</f>
        <v>ある</v>
      </c>
      <c r="H72" t="str">
        <f>IF($A72="","",VLOOKUP($A72,データ宅建業法!$A$2:$E$500,5,FALSE))</f>
        <v>ある</v>
      </c>
    </row>
    <row r="73" spans="1:8">
      <c r="A73" t="s">
        <v>134</v>
      </c>
      <c r="B73" t="str">
        <f>IF($A73="","",VLOOKUP($A73,データ宅建業法!$A$2:$E$500,3,FALSE))</f>
        <v>免許更新時審査あり</v>
      </c>
      <c r="C73" t="str">
        <f>IF($A73="","",VLOOKUP($A73,データ宅建業法!$A$2:$E$500,4,FALSE))</f>
        <v>○</v>
      </c>
      <c r="D73" s="5"/>
      <c r="E73" s="5"/>
      <c r="F73" t="str">
        <f>IF($A73="","",VLOOKUP($A73,データ宅建業法!$A$2:$E$500,5,FALSE))</f>
        <v>ある</v>
      </c>
      <c r="H73" t="str">
        <f>IF($A73="","",VLOOKUP($A73,データ宅建業法!$A$2:$E$500,5,FALSE))</f>
        <v>ある</v>
      </c>
    </row>
    <row r="74" spans="1:8">
      <c r="A74" t="s">
        <v>135</v>
      </c>
      <c r="B74" t="str">
        <f>IF($A74="","",VLOOKUP($A74,データ宅建業法!$A$2:$E$500,3,FALSE))</f>
        <v>免許番号表示義務あり</v>
      </c>
      <c r="C74" t="str">
        <f>IF($A74="","",VLOOKUP($A74,データ宅建業法!$A$2:$E$500,4,FALSE))</f>
        <v>○</v>
      </c>
      <c r="D74" s="5"/>
      <c r="E74" s="5"/>
      <c r="F74" t="str">
        <f>IF($A74="","",VLOOKUP($A74,データ宅建業法!$A$2:$E$500,5,FALSE))</f>
        <v>あり</v>
      </c>
      <c r="H74" t="str">
        <f>IF($A74="","",VLOOKUP($A74,データ宅建業法!$A$2:$E$500,5,FALSE))</f>
        <v>あり</v>
      </c>
    </row>
    <row r="75" spans="1:8">
      <c r="A75" t="s">
        <v>136</v>
      </c>
      <c r="B75" t="str">
        <f>IF($A75="","",VLOOKUP($A75,データ宅建業法!$A$2:$E$500,3,FALSE))</f>
        <v>免許は譲渡可能</v>
      </c>
      <c r="C75" t="str">
        <f>IF($A75="","",VLOOKUP($A75,データ宅建業法!$A$2:$E$500,4,FALSE))</f>
        <v>×</v>
      </c>
      <c r="D75" s="5"/>
      <c r="E75" s="5"/>
      <c r="F75" t="str">
        <f>IF($A75="","",VLOOKUP($A75,データ宅建業法!$A$2:$E$500,5,FALSE))</f>
        <v>不可</v>
      </c>
      <c r="H75" t="str">
        <f>IF($A75="","",VLOOKUP($A75,データ宅建業法!$A$2:$E$500,5,FALSE))</f>
        <v>不可</v>
      </c>
    </row>
    <row r="76" spans="1:8">
      <c r="A76" t="s">
        <v>137</v>
      </c>
      <c r="B76" t="str">
        <f>IF($A76="","",VLOOKUP($A76,データ宅建業法!$A$2:$E$500,3,FALSE))</f>
        <v>免許は法人個人別</v>
      </c>
      <c r="C76" t="str">
        <f>IF($A76="","",VLOOKUP($A76,データ宅建業法!$A$2:$E$500,4,FALSE))</f>
        <v>○</v>
      </c>
      <c r="D76" s="5"/>
      <c r="E76" s="5"/>
      <c r="F76" t="str">
        <f>IF($A76="","",VLOOKUP($A76,データ宅建業法!$A$2:$E$500,5,FALSE))</f>
        <v>別</v>
      </c>
      <c r="H76" t="str">
        <f>IF($A76="","",VLOOKUP($A76,データ宅建業法!$A$2:$E$500,5,FALSE))</f>
        <v>別</v>
      </c>
    </row>
    <row r="77" spans="1:8">
      <c r="A77" t="s">
        <v>138</v>
      </c>
      <c r="B77" t="str">
        <f>IF($A77="","",VLOOKUP($A77,データ宅建業法!$A$2:$E$500,3,FALSE))</f>
        <v>事務所に標識掲示義務あり</v>
      </c>
      <c r="C77" t="str">
        <f>IF($A77="","",VLOOKUP($A77,データ宅建業法!$A$2:$E$500,4,FALSE))</f>
        <v>○</v>
      </c>
      <c r="D77" s="5"/>
      <c r="E77" s="5"/>
      <c r="F77" t="str">
        <f>IF($A77="","",VLOOKUP($A77,データ宅建業法!$A$2:$E$500,5,FALSE))</f>
        <v>あり</v>
      </c>
      <c r="H77" t="str">
        <f>IF($A77="","",VLOOKUP($A77,データ宅建業法!$A$2:$E$500,5,FALSE))</f>
        <v>あり</v>
      </c>
    </row>
    <row r="78" spans="1:8">
      <c r="A78" t="s">
        <v>139</v>
      </c>
      <c r="B78" t="str">
        <f>IF($A78="","",VLOOKUP($A78,データ宅建業法!$A$2:$E$500,3,FALSE))</f>
        <v>従業者証明書携帯義務あり</v>
      </c>
      <c r="C78" t="str">
        <f>IF($A78="","",VLOOKUP($A78,データ宅建業法!$A$2:$E$500,4,FALSE))</f>
        <v>○</v>
      </c>
      <c r="D78" s="5"/>
      <c r="E78" s="5"/>
      <c r="F78" t="str">
        <f>IF($A78="","",VLOOKUP($A78,データ宅建業法!$A$2:$E$500,5,FALSE))</f>
        <v>あり</v>
      </c>
      <c r="H78" t="str">
        <f>IF($A78="","",VLOOKUP($A78,データ宅建業法!$A$2:$E$500,5,FALSE))</f>
        <v>あり</v>
      </c>
    </row>
    <row r="79" spans="1:8">
      <c r="A79" t="s">
        <v>140</v>
      </c>
      <c r="B79" t="str">
        <f>IF($A79="","",VLOOKUP($A79,データ宅建業法!$A$2:$E$500,3,FALSE))</f>
        <v>帳簿備付義務あり</v>
      </c>
      <c r="C79" t="str">
        <f>IF($A79="","",VLOOKUP($A79,データ宅建業法!$A$2:$E$500,4,FALSE))</f>
        <v>○</v>
      </c>
      <c r="D79" s="5"/>
      <c r="E79" s="5"/>
      <c r="F79" t="str">
        <f>IF($A79="","",VLOOKUP($A79,データ宅建業法!$A$2:$E$500,5,FALSE))</f>
        <v>あり</v>
      </c>
      <c r="H79" t="str">
        <f>IF($A79="","",VLOOKUP($A79,データ宅建業法!$A$2:$E$500,5,FALSE))</f>
        <v>あり</v>
      </c>
    </row>
    <row r="80" spans="1:8">
      <c r="A80" t="s">
        <v>141</v>
      </c>
      <c r="B80" t="str">
        <f>IF($A80="","",VLOOKUP($A80,データ宅建業法!$A$2:$E$500,3,FALSE))</f>
        <v>宅建士設置義務あり</v>
      </c>
      <c r="C80" t="str">
        <f>IF($A80="","",VLOOKUP($A80,データ宅建業法!$A$2:$E$500,4,FALSE))</f>
        <v>○</v>
      </c>
      <c r="D80" s="5"/>
      <c r="E80" s="5"/>
      <c r="F80" t="str">
        <f>IF($A80="","",VLOOKUP($A80,データ宅建業法!$A$2:$E$500,5,FALSE))</f>
        <v>あり</v>
      </c>
      <c r="H80" t="str">
        <f>IF($A80="","",VLOOKUP($A80,データ宅建業法!$A$2:$E$500,5,FALSE))</f>
        <v>あり</v>
      </c>
    </row>
    <row r="81" spans="1:8">
      <c r="A81" t="s">
        <v>142</v>
      </c>
      <c r="B81" t="str">
        <f>IF($A81="","",VLOOKUP($A81,データ宅建業法!$A$2:$E$500,3,FALSE))</f>
        <v>事務所数に応じ設置</v>
      </c>
      <c r="C81" t="str">
        <f>IF($A81="","",VLOOKUP($A81,データ宅建業法!$A$2:$E$500,4,FALSE))</f>
        <v>○</v>
      </c>
      <c r="D81" s="5"/>
      <c r="E81" s="5"/>
      <c r="F81" t="str">
        <f>IF($A81="","",VLOOKUP($A81,データ宅建業法!$A$2:$E$500,5,FALSE))</f>
        <v>必要</v>
      </c>
      <c r="H81" t="str">
        <f>IF($A81="","",VLOOKUP($A81,データ宅建業法!$A$2:$E$500,5,FALSE))</f>
        <v>必要</v>
      </c>
    </row>
    <row r="82" spans="1:8">
      <c r="A82" t="s">
        <v>143</v>
      </c>
      <c r="B82" t="str">
        <f>IF($A82="","",VLOOKUP($A82,データ宅建業法!$A$2:$E$500,3,FALSE))</f>
        <v>宅建業者は免許を受ける前でも広告を出すことができる</v>
      </c>
      <c r="C82" t="str">
        <f>IF($A82="","",VLOOKUP($A82,データ宅建業法!$A$2:$E$500,4,FALSE))</f>
        <v>×</v>
      </c>
      <c r="D82" s="5"/>
      <c r="E82" s="5"/>
      <c r="F82" t="str">
        <f>IF($A82="","",VLOOKUP($A82,データ宅建業法!$A$2:$E$500,5,FALSE))</f>
        <v>宅建業者は免許を受ける前に広告を出してはならない</v>
      </c>
      <c r="H82" t="str">
        <f>IF($A82="","",VLOOKUP($A82,データ宅建業法!$A$2:$E$500,5,FALSE))</f>
        <v>宅建業者は免許を受ける前に広告を出してはならない</v>
      </c>
    </row>
    <row r="83" spans="1:8">
      <c r="A83" t="s">
        <v>145</v>
      </c>
      <c r="B83" t="str">
        <f>IF($A83="","",VLOOKUP($A83,データ宅建業法!$A$2:$E$500,3,FALSE))</f>
        <v>宅建業者は取引態様を広告に表示しなければならない</v>
      </c>
      <c r="C83" t="str">
        <f>IF($A83="","",VLOOKUP($A83,データ宅建業法!$A$2:$E$500,4,FALSE))</f>
        <v>○</v>
      </c>
      <c r="D83" s="5"/>
      <c r="E83" s="5"/>
      <c r="F83" t="str">
        <f>IF($A83="","",VLOOKUP($A83,データ宅建業法!$A$2:$E$500,5,FALSE))</f>
        <v>売主・代理・媒介など取引態様の明示が必要</v>
      </c>
      <c r="H83" t="str">
        <f>IF($A83="","",VLOOKUP($A83,データ宅建業法!$A$2:$E$500,5,FALSE))</f>
        <v>売主・代理・媒介など取引態様の明示が必要</v>
      </c>
    </row>
    <row r="84" spans="1:8">
      <c r="A84" t="s">
        <v>146</v>
      </c>
      <c r="B84" t="str">
        <f>IF($A84="","",VLOOKUP($A84,データ宅建業法!$A$2:$E$500,3,FALSE))</f>
        <v>誇大広告は禁止されている</v>
      </c>
      <c r="C84" t="str">
        <f>IF($A84="","",VLOOKUP($A84,データ宅建業法!$A$2:$E$500,4,FALSE))</f>
        <v>○</v>
      </c>
      <c r="D84" s="5"/>
      <c r="E84" s="5"/>
      <c r="F84" t="str">
        <f>IF($A84="","",VLOOKUP($A84,データ宅建業法!$A$2:$E$500,5,FALSE))</f>
        <v>著しく事実に相違する広告は禁止されている</v>
      </c>
      <c r="H84" t="str">
        <f>IF($A84="","",VLOOKUP($A84,データ宅建業法!$A$2:$E$500,5,FALSE))</f>
        <v>著しく事実に相違する広告は禁止されている</v>
      </c>
    </row>
    <row r="85" spans="1:8">
      <c r="A85" t="s">
        <v>147</v>
      </c>
      <c r="B85" t="str">
        <f>IF($A85="","",VLOOKUP($A85,データ宅建業法!$A$2:$E$500,3,FALSE))</f>
        <v>宅地造成完了前でも自由に広告できる</v>
      </c>
      <c r="C85" t="str">
        <f>IF($A85="","",VLOOKUP($A85,データ宅建業法!$A$2:$E$500,4,FALSE))</f>
        <v>×</v>
      </c>
      <c r="D85" s="5"/>
      <c r="E85" s="5"/>
      <c r="F85" t="str">
        <f>IF($A85="","",VLOOKUP($A85,データ宅建業法!$A$2:$E$500,5,FALSE))</f>
        <v>造成工事完了前の広告には制限がある</v>
      </c>
      <c r="H85" t="str">
        <f>IF($A85="","",VLOOKUP($A85,データ宅建業法!$A$2:$E$500,5,FALSE))</f>
        <v>造成工事完了前の広告には制限がある</v>
      </c>
    </row>
    <row r="86" spans="1:8">
      <c r="A86" t="s">
        <v>148</v>
      </c>
      <c r="B86" t="str">
        <f>IF($A86="","",VLOOKUP($A86,データ宅建業法!$A$2:$E$500,3,FALSE))</f>
        <v>未完成物件の広告には開発許可などの表示が必要である</v>
      </c>
      <c r="C86" t="str">
        <f>IF($A86="","",VLOOKUP($A86,データ宅建業法!$A$2:$E$500,4,FALSE))</f>
        <v>○</v>
      </c>
      <c r="D86" s="5"/>
      <c r="E86" s="5"/>
      <c r="F86" t="str">
        <f>IF($A86="","",VLOOKUP($A86,データ宅建業法!$A$2:$E$500,5,FALSE))</f>
        <v>許可番号などの表示が必要</v>
      </c>
      <c r="H86" t="str">
        <f>IF($A86="","",VLOOKUP($A86,データ宅建業法!$A$2:$E$500,5,FALSE))</f>
        <v>許可番号などの表示が必要</v>
      </c>
    </row>
    <row r="87" spans="1:8">
      <c r="A87" t="s">
        <v>149</v>
      </c>
      <c r="B87" t="str">
        <f>IF($A87="","",VLOOKUP($A87,データ宅建業法!$A$2:$E$500,3,FALSE))</f>
        <v>媒介契約には3種類ある</v>
      </c>
      <c r="C87" t="str">
        <f>IF($A87="","",VLOOKUP($A87,データ宅建業法!$A$2:$E$500,4,FALSE))</f>
        <v>○</v>
      </c>
      <c r="D87" s="5"/>
      <c r="E87" s="5"/>
      <c r="F87" t="str">
        <f>IF($A87="","",VLOOKUP($A87,データ宅建業法!$A$2:$E$500,5,FALSE))</f>
        <v>一般媒介、専任媒介、専属専任媒介</v>
      </c>
      <c r="H87" t="str">
        <f>IF($A87="","",VLOOKUP($A87,データ宅建業法!$A$2:$E$500,5,FALSE))</f>
        <v>一般媒介、専任媒介、専属専任媒介</v>
      </c>
    </row>
    <row r="88" spans="1:8">
      <c r="A88" t="s">
        <v>150</v>
      </c>
      <c r="B88" t="str">
        <f>IF($A88="","",VLOOKUP($A88,データ宅建業法!$A$2:$E$500,3,FALSE))</f>
        <v>専属専任媒介契約では自己発見取引ができる</v>
      </c>
      <c r="C88" t="str">
        <f>IF($A88="","",VLOOKUP($A88,データ宅建業法!$A$2:$E$500,4,FALSE))</f>
        <v>×</v>
      </c>
      <c r="D88" s="5"/>
      <c r="E88" s="5"/>
      <c r="F88" t="str">
        <f>IF($A88="","",VLOOKUP($A88,データ宅建業法!$A$2:$E$500,5,FALSE))</f>
        <v>専属専任媒介では自己発見取引は禁止</v>
      </c>
      <c r="H88" t="str">
        <f>IF($A88="","",VLOOKUP($A88,データ宅建業法!$A$2:$E$500,5,FALSE))</f>
        <v>専属専任媒介では自己発見取引は禁止</v>
      </c>
    </row>
    <row r="89" spans="1:8">
      <c r="A89" t="s">
        <v>151</v>
      </c>
      <c r="B89" t="str">
        <f>IF($A89="","",VLOOKUP($A89,データ宅建業法!$A$2:$E$500,3,FALSE))</f>
        <v>専任媒介契約では自己発見取引ができる</v>
      </c>
      <c r="C89" t="str">
        <f>IF($A89="","",VLOOKUP($A89,データ宅建業法!$A$2:$E$500,4,FALSE))</f>
        <v>○</v>
      </c>
      <c r="D89" s="5"/>
      <c r="E89" s="5"/>
      <c r="F89" t="str">
        <f>IF($A89="","",VLOOKUP($A89,データ宅建業法!$A$2:$E$500,5,FALSE))</f>
        <v>専任媒介では自己発見取引は可能</v>
      </c>
      <c r="H89" t="str">
        <f>IF($A89="","",VLOOKUP($A89,データ宅建業法!$A$2:$E$500,5,FALSE))</f>
        <v>専任媒介では自己発見取引は可能</v>
      </c>
    </row>
    <row r="90" spans="1:8">
      <c r="A90" t="s">
        <v>152</v>
      </c>
      <c r="B90" t="str">
        <f>IF($A90="","",VLOOKUP($A90,データ宅建業法!$A$2:$E$500,3,FALSE))</f>
        <v>媒介契約は書面で締結しなければならない</v>
      </c>
      <c r="C90" t="str">
        <f>IF($A90="","",VLOOKUP($A90,データ宅建業法!$A$2:$E$500,4,FALSE))</f>
        <v>○</v>
      </c>
      <c r="D90" s="5"/>
      <c r="E90" s="5"/>
      <c r="F90" t="str">
        <f>IF($A90="","",VLOOKUP($A90,データ宅建業法!$A$2:$E$500,5,FALSE))</f>
        <v>媒介契約は書面交付が必要</v>
      </c>
      <c r="H90" t="str">
        <f>IF($A90="","",VLOOKUP($A90,データ宅建業法!$A$2:$E$500,5,FALSE))</f>
        <v>媒介契約は書面交付が必要</v>
      </c>
    </row>
    <row r="91" spans="1:8">
      <c r="A91" t="s">
        <v>153</v>
      </c>
      <c r="B91" t="str">
        <f>IF($A91="","",VLOOKUP($A91,データ宅建業法!$A$2:$E$500,3,FALSE))</f>
        <v>媒介契約の有効期間は3か月以内である</v>
      </c>
      <c r="C91" t="str">
        <f>IF($A91="","",VLOOKUP($A91,データ宅建業法!$A$2:$E$500,4,FALSE))</f>
        <v>○</v>
      </c>
      <c r="D91" s="5"/>
      <c r="E91" s="5"/>
      <c r="F91" t="str">
        <f>IF($A91="","",VLOOKUP($A91,データ宅建業法!$A$2:$E$500,5,FALSE))</f>
        <v>媒介契約の期間は3か月以内</v>
      </c>
      <c r="H91" t="str">
        <f>IF($A91="","",VLOOKUP($A91,データ宅建業法!$A$2:$E$500,5,FALSE))</f>
        <v>媒介契約の期間は3か月以内</v>
      </c>
    </row>
    <row r="92" spans="1:8">
      <c r="A92" t="s">
        <v>154</v>
      </c>
      <c r="B92" t="str">
        <f>IF($A92="","",VLOOKUP($A92,データ宅建業法!$A$2:$E$500,3,FALSE))</f>
        <v>専属専任媒介契約では1週間に1回以上報告義務がある</v>
      </c>
      <c r="C92" t="str">
        <f>IF($A92="","",VLOOKUP($A92,データ宅建業法!$A$2:$E$500,4,FALSE))</f>
        <v>○</v>
      </c>
      <c r="D92" s="5"/>
      <c r="E92" s="5"/>
      <c r="F92" t="str">
        <f>IF($A92="","",VLOOKUP($A92,データ宅建業法!$A$2:$E$500,5,FALSE))</f>
        <v>業務処理状況の報告義務あり</v>
      </c>
      <c r="H92" t="str">
        <f>IF($A92="","",VLOOKUP($A92,データ宅建業法!$A$2:$E$500,5,FALSE))</f>
        <v>業務処理状況の報告義務あり</v>
      </c>
    </row>
    <row r="93" spans="1:8">
      <c r="A93" t="s">
        <v>156</v>
      </c>
      <c r="B93" t="str">
        <f>IF($A93="","",VLOOKUP($A93,データ宅建業法!$A$2:$E$500,3,FALSE))</f>
        <v>専任媒介契約では2週間に1回以上報告義務がある</v>
      </c>
      <c r="C93" t="str">
        <f>IF($A93="","",VLOOKUP($A93,データ宅建業法!$A$2:$E$500,4,FALSE))</f>
        <v>○</v>
      </c>
      <c r="D93" s="5"/>
      <c r="E93" s="5"/>
      <c r="F93" t="str">
        <f>IF($A93="","",VLOOKUP($A93,データ宅建業法!$A$2:$E$500,5,FALSE))</f>
        <v>専任媒介は2週間に1回以上</v>
      </c>
      <c r="H93" t="str">
        <f>IF($A93="","",VLOOKUP($A93,データ宅建業法!$A$2:$E$500,5,FALSE))</f>
        <v>専任媒介は2週間に1回以上</v>
      </c>
    </row>
    <row r="94" spans="1:8">
      <c r="A94" t="s">
        <v>157</v>
      </c>
      <c r="B94" t="str">
        <f>IF($A94="","",VLOOKUP($A94,データ宅建業法!$A$2:$E$500,3,FALSE))</f>
        <v>一般媒介契約には報告義務がある</v>
      </c>
      <c r="C94" t="str">
        <f>IF($A94="","",VLOOKUP($A94,データ宅建業法!$A$2:$E$500,4,FALSE))</f>
        <v>×</v>
      </c>
      <c r="D94" s="5"/>
      <c r="E94" s="5"/>
      <c r="F94" t="str">
        <f>IF($A94="","",VLOOKUP($A94,データ宅建業法!$A$2:$E$500,5,FALSE))</f>
        <v>一般媒介には報告義務はない</v>
      </c>
      <c r="H94" t="str">
        <f>IF($A94="","",VLOOKUP($A94,データ宅建業法!$A$2:$E$500,5,FALSE))</f>
        <v>一般媒介には報告義務はない</v>
      </c>
    </row>
    <row r="95" spans="1:8">
      <c r="A95" t="s">
        <v>158</v>
      </c>
      <c r="B95" t="str">
        <f>IF($A95="","",VLOOKUP($A95,データ宅建業法!$A$2:$E$500,3,FALSE))</f>
        <v>専属専任媒介ではレインズ登録義務がある</v>
      </c>
      <c r="C95" t="str">
        <f>IF($A95="","",VLOOKUP($A95,データ宅建業法!$A$2:$E$500,4,FALSE))</f>
        <v>○</v>
      </c>
      <c r="D95" s="5"/>
      <c r="E95" s="5"/>
      <c r="F95" t="str">
        <f>IF($A95="","",VLOOKUP($A95,データ宅建業法!$A$2:$E$500,5,FALSE))</f>
        <v>契約締結後5日以内に登録</v>
      </c>
      <c r="H95" t="str">
        <f>IF($A95="","",VLOOKUP($A95,データ宅建業法!$A$2:$E$500,5,FALSE))</f>
        <v>契約締結後5日以内に登録</v>
      </c>
    </row>
    <row r="96" spans="1:8">
      <c r="A96" t="s">
        <v>159</v>
      </c>
      <c r="B96" t="str">
        <f>IF($A96="","",VLOOKUP($A96,データ宅建業法!$A$2:$E$500,3,FALSE))</f>
        <v>専任媒介契約ではレインズ登録義務がある</v>
      </c>
      <c r="C96" t="str">
        <f>IF($A96="","",VLOOKUP($A96,データ宅建業法!$A$2:$E$500,4,FALSE))</f>
        <v>○</v>
      </c>
      <c r="D96" s="5"/>
      <c r="E96" s="5"/>
      <c r="F96" t="str">
        <f>IF($A96="","",VLOOKUP($A96,データ宅建業法!$A$2:$E$500,5,FALSE))</f>
        <v>契約締結後7日以内に登録</v>
      </c>
      <c r="H96" t="str">
        <f>IF($A96="","",VLOOKUP($A96,データ宅建業法!$A$2:$E$500,5,FALSE))</f>
        <v>契約締結後7日以内に登録</v>
      </c>
    </row>
    <row r="97" spans="1:8">
      <c r="A97" t="s">
        <v>160</v>
      </c>
      <c r="B97" t="str">
        <f>IF($A97="","",VLOOKUP($A97,データ宅建業法!$A$2:$E$500,3,FALSE))</f>
        <v>宅建業者が売主の場合手付金には制限がある</v>
      </c>
      <c r="C97" t="str">
        <f>IF($A97="","",VLOOKUP($A97,データ宅建業法!$A$2:$E$500,4,FALSE))</f>
        <v>○</v>
      </c>
      <c r="D97" s="5"/>
      <c r="E97" s="5"/>
      <c r="F97" t="str">
        <f>IF($A97="","",VLOOKUP($A97,データ宅建業法!$A$2:$E$500,5,FALSE))</f>
        <v>手付金等は代金の20%以内</v>
      </c>
      <c r="H97" t="str">
        <f>IF($A97="","",VLOOKUP($A97,データ宅建業法!$A$2:$E$500,5,FALSE))</f>
        <v>手付金等は代金の20%以内</v>
      </c>
    </row>
    <row r="98" spans="1:8">
      <c r="A98" t="s">
        <v>161</v>
      </c>
      <c r="B98" t="str">
        <f>IF($A98="","",VLOOKUP($A98,データ宅建業法!$A$2:$E$500,3,FALSE))</f>
        <v>手付金の性質は解約手付が原則である</v>
      </c>
      <c r="C98" t="str">
        <f>IF($A98="","",VLOOKUP($A98,データ宅建業法!$A$2:$E$500,4,FALSE))</f>
        <v>○</v>
      </c>
      <c r="D98" s="5"/>
      <c r="E98" s="5"/>
      <c r="F98" t="str">
        <f>IF($A98="","",VLOOKUP($A98,データ宅建業法!$A$2:$E$500,5,FALSE))</f>
        <v>特約がなければ解約手付</v>
      </c>
      <c r="H98" t="str">
        <f>IF($A98="","",VLOOKUP($A98,データ宅建業法!$A$2:$E$500,5,FALSE))</f>
        <v>特約がなければ解約手付</v>
      </c>
    </row>
    <row r="99" spans="1:8">
      <c r="A99" t="s">
        <v>162</v>
      </c>
      <c r="B99" t="str">
        <f>IF($A99="","",VLOOKUP($A99,データ宅建業法!$A$2:$E$500,3,FALSE))</f>
        <v>買主は手付金を放棄して契約解除できる</v>
      </c>
      <c r="C99" t="str">
        <f>IF($A99="","",VLOOKUP($A99,データ宅建業法!$A$2:$E$500,4,FALSE))</f>
        <v>○</v>
      </c>
      <c r="D99" s="5"/>
      <c r="E99" s="5"/>
      <c r="F99" t="str">
        <f>IF($A99="","",VLOOKUP($A99,データ宅建業法!$A$2:$E$500,5,FALSE))</f>
        <v>解約手付の原則</v>
      </c>
      <c r="H99" t="str">
        <f>IF($A99="","",VLOOKUP($A99,データ宅建業法!$A$2:$E$500,5,FALSE))</f>
        <v>解約手付の原則</v>
      </c>
    </row>
    <row r="100" spans="1:8">
      <c r="A100" t="s">
        <v>163</v>
      </c>
      <c r="B100" t="str">
        <f>IF($A100="","",VLOOKUP($A100,データ宅建業法!$A$2:$E$500,3,FALSE))</f>
        <v>売主は手付金の倍返しで契約解除できる</v>
      </c>
      <c r="C100" t="str">
        <f>IF($A100="","",VLOOKUP($A100,データ宅建業法!$A$2:$E$500,4,FALSE))</f>
        <v>○</v>
      </c>
      <c r="D100" s="5"/>
      <c r="E100" s="5"/>
      <c r="F100" t="str">
        <f>IF($A100="","",VLOOKUP($A100,データ宅建業法!$A$2:$E$500,5,FALSE))</f>
        <v>手付倍返し</v>
      </c>
      <c r="H100" t="str">
        <f>IF($A100="","",VLOOKUP($A100,データ宅建業法!$A$2:$E$500,5,FALSE))</f>
        <v>手付倍返し</v>
      </c>
    </row>
    <row r="101" spans="1:8">
      <c r="A101" t="s">
        <v>164</v>
      </c>
      <c r="B101" t="str">
        <f>IF($A101="","",VLOOKUP($A101,データ宅建業法!$A$2:$E$500,3,FALSE))</f>
        <v>履行に着手した後は手付解除できない</v>
      </c>
      <c r="C101" t="str">
        <f>IF($A101="","",VLOOKUP($A101,データ宅建業法!$A$2:$E$500,4,FALSE))</f>
        <v>○</v>
      </c>
      <c r="D101" s="5"/>
      <c r="E101" s="5"/>
      <c r="F101" t="str">
        <f>IF($A101="","",VLOOKUP($A101,データ宅建業法!$A$2:$E$500,5,FALSE))</f>
        <v>履行着手後は解除不可</v>
      </c>
      <c r="H101" t="str">
        <f>IF($A101="","",VLOOKUP($A101,データ宅建業法!$A$2:$E$500,5,FALSE))</f>
        <v>履行着手後は解除不可</v>
      </c>
    </row>
    <row r="102" spans="1:8">
      <c r="A102" t="s">
        <v>165</v>
      </c>
      <c r="B102" t="str">
        <f>IF($A102="","",VLOOKUP($A102,データ宅建業法!$A$2:$E$500,3,FALSE))</f>
        <v>宅建業者が売主の場合クーリングオフ制度がある</v>
      </c>
      <c r="C102" t="str">
        <f>IF($A102="","",VLOOKUP($A102,データ宅建業法!$A$2:$E$500,4,FALSE))</f>
        <v>○</v>
      </c>
      <c r="D102" s="5"/>
      <c r="E102" s="5"/>
      <c r="F102" t="str">
        <f>IF($A102="","",VLOOKUP($A102,データ宅建業法!$A$2:$E$500,5,FALSE))</f>
        <v>一定の場合クーリングオフ可能</v>
      </c>
      <c r="H102" t="str">
        <f>IF($A102="","",VLOOKUP($A102,データ宅建業法!$A$2:$E$500,5,FALSE))</f>
        <v>一定の場合クーリングオフ可能</v>
      </c>
    </row>
    <row r="103" spans="1:8">
      <c r="A103" t="s">
        <v>167</v>
      </c>
      <c r="B103" t="str">
        <f>IF($A103="","",VLOOKUP($A103,データ宅建業法!$A$2:$E$500,3,FALSE))</f>
        <v>事務所で契約した場合クーリングオフできない</v>
      </c>
      <c r="C103" t="str">
        <f>IF($A103="","",VLOOKUP($A103,データ宅建業法!$A$2:$E$500,4,FALSE))</f>
        <v>○</v>
      </c>
      <c r="D103" s="5"/>
      <c r="E103" s="5"/>
      <c r="F103" t="str">
        <f>IF($A103="","",VLOOKUP($A103,データ宅建業法!$A$2:$E$500,5,FALSE))</f>
        <v>事務所契約は対象外</v>
      </c>
      <c r="H103" t="str">
        <f>IF($A103="","",VLOOKUP($A103,データ宅建業法!$A$2:$E$500,5,FALSE))</f>
        <v>事務所契約は対象外</v>
      </c>
    </row>
    <row r="104" spans="1:8">
      <c r="A104" t="s">
        <v>168</v>
      </c>
      <c r="B104" t="str">
        <f>IF($A104="","",VLOOKUP($A104,データ宅建業法!$A$2:$E$500,3,FALSE))</f>
        <v>クーリングオフ期間は8日である</v>
      </c>
      <c r="C104" t="str">
        <f>IF($A104="","",VLOOKUP($A104,データ宅建業法!$A$2:$E$500,4,FALSE))</f>
        <v>○</v>
      </c>
      <c r="D104" s="5"/>
      <c r="E104" s="5"/>
      <c r="F104" t="str">
        <f>IF($A104="","",VLOOKUP($A104,データ宅建業法!$A$2:$E$500,5,FALSE))</f>
        <v>書面受領から8日</v>
      </c>
      <c r="H104" t="str">
        <f>IF($A104="","",VLOOKUP($A104,データ宅建業法!$A$2:$E$500,5,FALSE))</f>
        <v>書面受領から8日</v>
      </c>
    </row>
    <row r="105" spans="1:8">
      <c r="A105" t="s">
        <v>169</v>
      </c>
      <c r="B105" t="str">
        <f>IF($A105="","",VLOOKUP($A105,データ宅建業法!$A$2:$E$500,3,FALSE))</f>
        <v>クーリングオフは書面で行う必要がある</v>
      </c>
      <c r="C105" t="str">
        <f>IF($A105="","",VLOOKUP($A105,データ宅建業法!$A$2:$E$500,4,FALSE))</f>
        <v>○</v>
      </c>
      <c r="D105" s="5"/>
      <c r="E105" s="5"/>
      <c r="F105" t="str">
        <f>IF($A105="","",VLOOKUP($A105,データ宅建業法!$A$2:$E$500,5,FALSE))</f>
        <v>書面通知が必要</v>
      </c>
      <c r="H105" t="str">
        <f>IF($A105="","",VLOOKUP($A105,データ宅建業法!$A$2:$E$500,5,FALSE))</f>
        <v>書面通知が必要</v>
      </c>
    </row>
    <row r="106" spans="1:8">
      <c r="A106" t="s">
        <v>170</v>
      </c>
      <c r="B106" t="str">
        <f>IF($A106="","",VLOOKUP($A106,データ宅建業法!$A$2:$E$500,3,FALSE))</f>
        <v>クーリングオフした場合違約金請求できない</v>
      </c>
      <c r="C106" t="str">
        <f>IF($A106="","",VLOOKUP($A106,データ宅建業法!$A$2:$E$500,4,FALSE))</f>
        <v>○</v>
      </c>
      <c r="D106" s="5"/>
      <c r="E106" s="5"/>
      <c r="F106" t="str">
        <f>IF($A106="","",VLOOKUP($A106,データ宅建業法!$A$2:$E$500,5,FALSE))</f>
        <v>損害賠償請求不可</v>
      </c>
      <c r="H106" t="str">
        <f>IF($A106="","",VLOOKUP($A106,データ宅建業法!$A$2:$E$500,5,FALSE))</f>
        <v>損害賠償請求不可</v>
      </c>
    </row>
    <row r="107" spans="1:8">
      <c r="A107" t="s">
        <v>171</v>
      </c>
      <c r="B107" t="str">
        <f>IF($A107="","",VLOOKUP($A107,データ宅建業法!$A$2:$E$500,3,FALSE))</f>
        <v>宅建業者が売主の場合損害賠償額予定は20%以内</v>
      </c>
      <c r="C107" t="str">
        <f>IF($A107="","",VLOOKUP($A107,データ宅建業法!$A$2:$E$500,4,FALSE))</f>
        <v>○</v>
      </c>
      <c r="D107" s="5"/>
      <c r="E107" s="5"/>
      <c r="F107" t="str">
        <f>IF($A107="","",VLOOKUP($A107,データ宅建業法!$A$2:$E$500,5,FALSE))</f>
        <v>代金の20%以内</v>
      </c>
      <c r="H107" t="str">
        <f>IF($A107="","",VLOOKUP($A107,データ宅建業法!$A$2:$E$500,5,FALSE))</f>
        <v>代金の20%以内</v>
      </c>
    </row>
    <row r="108" spans="1:8">
      <c r="A108" t="s">
        <v>172</v>
      </c>
      <c r="B108" t="str">
        <f>IF($A108="","",VLOOKUP($A108,データ宅建業法!$A$2:$E$500,3,FALSE))</f>
        <v>違約金と損害賠償額予定は別に定められる</v>
      </c>
      <c r="C108" t="str">
        <f>IF($A108="","",VLOOKUP($A108,データ宅建業法!$A$2:$E$500,4,FALSE))</f>
        <v>×</v>
      </c>
      <c r="D108" s="5"/>
      <c r="E108" s="5"/>
      <c r="F108" t="str">
        <f>IF($A108="","",VLOOKUP($A108,データ宅建業法!$A$2:$E$500,5,FALSE))</f>
        <v>合算して20%以内</v>
      </c>
      <c r="H108" t="str">
        <f>IF($A108="","",VLOOKUP($A108,データ宅建業法!$A$2:$E$500,5,FALSE))</f>
        <v>合算して20%以内</v>
      </c>
    </row>
    <row r="109" spans="1:8">
      <c r="A109" t="s">
        <v>173</v>
      </c>
      <c r="B109" t="str">
        <f>IF($A109="","",VLOOKUP($A109,データ宅建業法!$A$2:$E$500,3,FALSE))</f>
        <v>20%を超える特約は無効となる</v>
      </c>
      <c r="C109" t="str">
        <f>IF($A109="","",VLOOKUP($A109,データ宅建業法!$A$2:$E$500,4,FALSE))</f>
        <v>○</v>
      </c>
      <c r="D109" s="5"/>
      <c r="E109" s="5"/>
      <c r="F109" t="str">
        <f>IF($A109="","",VLOOKUP($A109,データ宅建業法!$A$2:$E$500,5,FALSE))</f>
        <v>超過部分は無効</v>
      </c>
      <c r="H109" t="str">
        <f>IF($A109="","",VLOOKUP($A109,データ宅建業法!$A$2:$E$500,5,FALSE))</f>
        <v>超過部分は無効</v>
      </c>
    </row>
    <row r="110" spans="1:8">
      <c r="A110" t="s">
        <v>174</v>
      </c>
      <c r="B110" t="str">
        <f>IF($A110="","",VLOOKUP($A110,データ宅建業法!$A$2:$E$500,3,FALSE))</f>
        <v>宅建業者売主の場合2年以上の責任期間が必要</v>
      </c>
      <c r="C110" t="str">
        <f>IF($A110="","",VLOOKUP($A110,データ宅建業法!$A$2:$E$500,4,FALSE))</f>
        <v>○</v>
      </c>
      <c r="D110" s="5"/>
      <c r="E110" s="5"/>
      <c r="F110" t="str">
        <f>IF($A110="","",VLOOKUP($A110,データ宅建業法!$A$2:$E$500,5,FALSE))</f>
        <v>2年以上</v>
      </c>
      <c r="H110" t="str">
        <f>IF($A110="","",VLOOKUP($A110,データ宅建業法!$A$2:$E$500,5,FALSE))</f>
        <v>2年以上</v>
      </c>
    </row>
    <row r="111" spans="1:8">
      <c r="A111" t="s">
        <v>175</v>
      </c>
      <c r="B111" t="str">
        <f>IF($A111="","",VLOOKUP($A111,データ宅建業法!$A$2:$E$500,3,FALSE))</f>
        <v>瑕疵担保責任を免除する特約は可能</v>
      </c>
      <c r="C111" t="str">
        <f>IF($A111="","",VLOOKUP($A111,データ宅建業法!$A$2:$E$500,4,FALSE))</f>
        <v>×</v>
      </c>
      <c r="D111" s="5"/>
      <c r="E111" s="5"/>
      <c r="F111" t="str">
        <f>IF($A111="","",VLOOKUP($A111,データ宅建業法!$A$2:$E$500,5,FALSE))</f>
        <v>業者売主の場合不可</v>
      </c>
      <c r="H111" t="str">
        <f>IF($A111="","",VLOOKUP($A111,データ宅建業法!$A$2:$E$500,5,FALSE))</f>
        <v>業者売主の場合不可</v>
      </c>
    </row>
    <row r="112" spans="1:8">
      <c r="A112" t="s">
        <v>176</v>
      </c>
      <c r="B112" t="str">
        <f>IF($A112="","",VLOOKUP($A112,データ宅建業法!$A$2:$E$500,3,FALSE))</f>
        <v>割賦販売では所有権留保が認められる</v>
      </c>
      <c r="C112" t="str">
        <f>IF($A112="","",VLOOKUP($A112,データ宅建業法!$A$2:$E$500,4,FALSE))</f>
        <v>○</v>
      </c>
      <c r="D112" s="5"/>
      <c r="E112" s="5"/>
      <c r="F112" t="str">
        <f>IF($A112="","",VLOOKUP($A112,データ宅建業法!$A$2:$E$500,5,FALSE))</f>
        <v>代金完済まで留保</v>
      </c>
      <c r="H112" t="str">
        <f>IF($A112="","",VLOOKUP($A112,データ宅建業法!$A$2:$E$500,5,FALSE))</f>
        <v>代金完済まで留保</v>
      </c>
    </row>
    <row r="113" spans="1:8">
      <c r="A113" t="s">
        <v>178</v>
      </c>
      <c r="B113" t="str">
        <f>IF($A113="","",VLOOKUP($A113,データ宅建業法!$A$2:$E$500,3,FALSE))</f>
        <v>割賦販売の解除には催告が必要</v>
      </c>
      <c r="C113" t="str">
        <f>IF($A113="","",VLOOKUP($A113,データ宅建業法!$A$2:$E$500,4,FALSE))</f>
        <v>○</v>
      </c>
      <c r="D113" s="5"/>
      <c r="E113" s="5"/>
      <c r="F113" t="str">
        <f>IF($A113="","",VLOOKUP($A113,データ宅建業法!$A$2:$E$500,5,FALSE))</f>
        <v>一定期間の催告が必要</v>
      </c>
      <c r="H113" t="str">
        <f>IF($A113="","",VLOOKUP($A113,データ宅建業法!$A$2:$E$500,5,FALSE))</f>
        <v>一定期間の催告が必要</v>
      </c>
    </row>
    <row r="114" spans="1:8">
      <c r="A114" t="s">
        <v>179</v>
      </c>
      <c r="B114" t="str">
        <f>IF($A114="","",VLOOKUP($A114,データ宅建業法!$A$2:$E$500,3,FALSE))</f>
        <v>催告期間は30日以上である</v>
      </c>
      <c r="C114" t="str">
        <f>IF($A114="","",VLOOKUP($A114,データ宅建業法!$A$2:$E$500,4,FALSE))</f>
        <v>○</v>
      </c>
      <c r="D114" s="5"/>
      <c r="E114" s="5"/>
      <c r="F114" t="str">
        <f>IF($A114="","",VLOOKUP($A114,データ宅建業法!$A$2:$E$500,5,FALSE))</f>
        <v>30日以上</v>
      </c>
      <c r="H114" t="str">
        <f>IF($A114="","",VLOOKUP($A114,データ宅建業法!$A$2:$E$500,5,FALSE))</f>
        <v>30日以上</v>
      </c>
    </row>
    <row r="115" spans="1:8">
      <c r="A115" t="s">
        <v>180</v>
      </c>
      <c r="B115" t="str">
        <f>IF($A115="","",VLOOKUP($A115,データ宅建業法!$A$2:$E$500,3,FALSE))</f>
        <v>催告なしで解除できる</v>
      </c>
      <c r="C115" t="str">
        <f>IF($A115="","",VLOOKUP($A115,データ宅建業法!$A$2:$E$500,4,FALSE))</f>
        <v>×</v>
      </c>
      <c r="D115" s="5"/>
      <c r="E115" s="5"/>
      <c r="F115" t="str">
        <f>IF($A115="","",VLOOKUP($A115,データ宅建業法!$A$2:$E$500,5,FALSE))</f>
        <v>催告必要</v>
      </c>
      <c r="H115" t="str">
        <f>IF($A115="","",VLOOKUP($A115,データ宅建業法!$A$2:$E$500,5,FALSE))</f>
        <v>催告必要</v>
      </c>
    </row>
    <row r="116" spans="1:8">
      <c r="A116" t="s">
        <v>181</v>
      </c>
      <c r="B116" t="str">
        <f>IF($A116="","",VLOOKUP($A116,データ宅建業法!$A$2:$E$500,3,FALSE))</f>
        <v>ローン特約により契約解除できる</v>
      </c>
      <c r="C116" t="str">
        <f>IF($A116="","",VLOOKUP($A116,データ宅建業法!$A$2:$E$500,4,FALSE))</f>
        <v>○</v>
      </c>
      <c r="D116" s="5"/>
      <c r="E116" s="5"/>
      <c r="F116" t="str">
        <f>IF($A116="","",VLOOKUP($A116,データ宅建業法!$A$2:$E$500,5,FALSE))</f>
        <v>融資不成立の場合解除</v>
      </c>
      <c r="H116" t="str">
        <f>IF($A116="","",VLOOKUP($A116,データ宅建業法!$A$2:$E$500,5,FALSE))</f>
        <v>融資不成立の場合解除</v>
      </c>
    </row>
    <row r="117" spans="1:8">
      <c r="A117" t="s">
        <v>182</v>
      </c>
      <c r="B117" t="str">
        <f>IF($A117="","",VLOOKUP($A117,データ宅建業法!$A$2:$E$500,3,FALSE))</f>
        <v>ローン特約は宅建業法の規定である</v>
      </c>
      <c r="C117" t="str">
        <f>IF($A117="","",VLOOKUP($A117,データ宅建業法!$A$2:$E$500,4,FALSE))</f>
        <v>×</v>
      </c>
      <c r="D117" s="5"/>
      <c r="E117" s="5"/>
      <c r="F117" t="str">
        <f>IF($A117="","",VLOOKUP($A117,データ宅建業法!$A$2:$E$500,5,FALSE))</f>
        <v>民法契約の特約</v>
      </c>
      <c r="H117" t="str">
        <f>IF($A117="","",VLOOKUP($A117,データ宅建業法!$A$2:$E$500,5,FALSE))</f>
        <v>民法契約の特約</v>
      </c>
    </row>
    <row r="118" spans="1:8">
      <c r="A118" t="s">
        <v>183</v>
      </c>
      <c r="B118" t="str">
        <f>IF($A118="","",VLOOKUP($A118,データ宅建業法!$A$2:$E$500,3,FALSE))</f>
        <v>宅建業者の報酬額には上限がある</v>
      </c>
      <c r="C118" t="str">
        <f>IF($A118="","",VLOOKUP($A118,データ宅建業法!$A$2:$E$500,4,FALSE))</f>
        <v>○</v>
      </c>
      <c r="D118" s="5"/>
      <c r="E118" s="5"/>
      <c r="F118" t="str">
        <f>IF($A118="","",VLOOKUP($A118,データ宅建業法!$A$2:$E$500,5,FALSE))</f>
        <v>報酬規定あり</v>
      </c>
      <c r="H118" t="str">
        <f>IF($A118="","",VLOOKUP($A118,データ宅建業法!$A$2:$E$500,5,FALSE))</f>
        <v>報酬規定あり</v>
      </c>
    </row>
    <row r="119" spans="1:8">
      <c r="A119" t="s">
        <v>184</v>
      </c>
      <c r="B119" t="str">
        <f>IF($A119="","",VLOOKUP($A119,データ宅建業法!$A$2:$E$500,3,FALSE))</f>
        <v>売買価格400万円超の報酬上限は3%+6万円である</v>
      </c>
      <c r="C119" t="str">
        <f>IF($A119="","",VLOOKUP($A119,データ宅建業法!$A$2:$E$500,4,FALSE))</f>
        <v>○</v>
      </c>
      <c r="D119" s="5"/>
      <c r="E119" s="5"/>
      <c r="F119" t="str">
        <f>IF($A119="","",VLOOKUP($A119,データ宅建業法!$A$2:$E$500,5,FALSE))</f>
        <v>=+消費税</v>
      </c>
      <c r="H119" t="str">
        <f>IF($A119="","",VLOOKUP($A119,データ宅建業法!$A$2:$E$500,5,FALSE))</f>
        <v>=+消費税</v>
      </c>
    </row>
    <row r="120" spans="1:8">
      <c r="A120" t="s">
        <v>185</v>
      </c>
      <c r="B120" t="str">
        <f>IF($A120="","",VLOOKUP($A120,データ宅建業法!$A$2:$E$500,3,FALSE))</f>
        <v>売主と買主双方から報酬を受けることができる</v>
      </c>
      <c r="C120" t="str">
        <f>IF($A120="","",VLOOKUP($A120,データ宅建業法!$A$2:$E$500,4,FALSE))</f>
        <v>○</v>
      </c>
      <c r="D120" s="5"/>
      <c r="E120" s="5"/>
      <c r="F120" t="str">
        <f>IF($A120="","",VLOOKUP($A120,データ宅建業法!$A$2:$E$500,5,FALSE))</f>
        <v>双方から受領可能</v>
      </c>
      <c r="H120" t="str">
        <f>IF($A120="","",VLOOKUP($A120,データ宅建業法!$A$2:$E$500,5,FALSE))</f>
        <v>双方から受領可能</v>
      </c>
    </row>
    <row r="121" spans="1:8">
      <c r="A121" t="s">
        <v>186</v>
      </c>
      <c r="B121" t="str">
        <f>IF($A121="","",VLOOKUP($A121,データ宅建業法!$A$2:$E$500,3,FALSE))</f>
        <v>報酬は自由に決めてよい</v>
      </c>
      <c r="C121" t="str">
        <f>IF($A121="","",VLOOKUP($A121,データ宅建業法!$A$2:$E$500,4,FALSE))</f>
        <v>×</v>
      </c>
      <c r="D121" s="5"/>
      <c r="E121" s="5"/>
      <c r="F121" t="str">
        <f>IF($A121="","",VLOOKUP($A121,データ宅建業法!$A$2:$E$500,5,FALSE))</f>
        <v>国土交通省告示で上限あり</v>
      </c>
      <c r="H121" t="str">
        <f>IF($A121="","",VLOOKUP($A121,データ宅建業法!$A$2:$E$500,5,FALSE))</f>
        <v>国土交通省告示で上限あり</v>
      </c>
    </row>
    <row r="122" spans="1:8">
      <c r="A122" t="s">
        <v>187</v>
      </c>
      <c r="B122" t="str">
        <f>IF($A122="","",VLOOKUP($A122,データ宅建業法!$A$2:$E$500,3,FALSE))</f>
        <v>免許取消処分がある</v>
      </c>
      <c r="C122" t="str">
        <f>IF($A122="","",VLOOKUP($A122,データ宅建業法!$A$2:$E$500,4,FALSE))</f>
        <v>○</v>
      </c>
      <c r="D122" s="5"/>
      <c r="E122" s="5"/>
      <c r="F122" t="str">
        <f>IF($A122="","",VLOOKUP($A122,データ宅建業法!$A$2:$E$500,5,FALSE))</f>
        <v>重大違反の場合</v>
      </c>
      <c r="H122" t="str">
        <f>IF($A122="","",VLOOKUP($A122,データ宅建業法!$A$2:$E$500,5,FALSE))</f>
        <v>重大違反の場合</v>
      </c>
    </row>
    <row r="123" spans="1:8">
      <c r="A123" t="s">
        <v>189</v>
      </c>
      <c r="B123" t="str">
        <f>IF($A123="","",VLOOKUP($A123,データ宅建業法!$A$2:$E$500,3,FALSE))</f>
        <v>業務停止処分がある</v>
      </c>
      <c r="C123" t="str">
        <f>IF($A123="","",VLOOKUP($A123,データ宅建業法!$A$2:$E$500,4,FALSE))</f>
        <v>○</v>
      </c>
      <c r="D123" s="5"/>
      <c r="E123" s="5"/>
      <c r="F123" t="str">
        <f>IF($A123="","",VLOOKUP($A123,データ宅建業法!$A$2:$E$500,5,FALSE))</f>
        <v>一定期間営業停止</v>
      </c>
      <c r="H123" t="str">
        <f>IF($A123="","",VLOOKUP($A123,データ宅建業法!$A$2:$E$500,5,FALSE))</f>
        <v>一定期間営業停止</v>
      </c>
    </row>
    <row r="124" spans="1:8">
      <c r="A124" t="s">
        <v>190</v>
      </c>
      <c r="B124" t="str">
        <f>IF($A124="","",VLOOKUP($A124,データ宅建業法!$A$2:$E$500,3,FALSE))</f>
        <v>指示処分がある</v>
      </c>
      <c r="C124" t="str">
        <f>IF($A124="","",VLOOKUP($A124,データ宅建業法!$A$2:$E$500,4,FALSE))</f>
        <v>○</v>
      </c>
      <c r="D124" s="5"/>
      <c r="E124" s="5"/>
      <c r="F124" t="str">
        <f>IF($A124="","",VLOOKUP($A124,データ宅建業法!$A$2:$E$500,5,FALSE))</f>
        <v>行政指導処分</v>
      </c>
      <c r="H124" t="str">
        <f>IF($A124="","",VLOOKUP($A124,データ宅建業法!$A$2:$E$500,5,FALSE))</f>
        <v>行政指導処分</v>
      </c>
    </row>
    <row r="125" spans="1:8">
      <c r="A125" t="s">
        <v>191</v>
      </c>
      <c r="B125" t="str">
        <f>IF($A125="","",VLOOKUP($A125,データ宅建業法!$A$2:$E$500,3,FALSE))</f>
        <v>無免許営業には罰則がある</v>
      </c>
      <c r="C125" t="str">
        <f>IF($A125="","",VLOOKUP($A125,データ宅建業法!$A$2:$E$500,4,FALSE))</f>
        <v>○</v>
      </c>
      <c r="D125" s="5"/>
      <c r="E125" s="5"/>
      <c r="F125" t="str">
        <f>IF($A125="","",VLOOKUP($A125,データ宅建業法!$A$2:$E$500,5,FALSE))</f>
        <v>宅建業法違反</v>
      </c>
      <c r="H125" t="str">
        <f>IF($A125="","",VLOOKUP($A125,データ宅建業法!$A$2:$E$500,5,FALSE))</f>
        <v>宅建業法違反</v>
      </c>
    </row>
    <row r="126" spans="1:8">
      <c r="A126" t="s">
        <v>192</v>
      </c>
      <c r="B126" t="str">
        <f>IF($A126="","",VLOOKUP($A126,データ宅建業法!$A$2:$E$500,3,FALSE))</f>
        <v>名義貸しは禁止されている</v>
      </c>
      <c r="C126" t="str">
        <f>IF($A126="","",VLOOKUP($A126,データ宅建業法!$A$2:$E$500,4,FALSE))</f>
        <v>○</v>
      </c>
      <c r="D126" s="5"/>
      <c r="E126" s="5"/>
      <c r="F126" t="str">
        <f>IF($A126="","",VLOOKUP($A126,データ宅建業法!$A$2:$E$500,5,FALSE))</f>
        <v>宅建業者の名義貸しは禁止</v>
      </c>
      <c r="H126" t="str">
        <f>IF($A126="","",VLOOKUP($A126,データ宅建業法!$A$2:$E$500,5,FALSE))</f>
        <v>宅建業者の名義貸しは禁止</v>
      </c>
    </row>
    <row r="127" spans="1:8" ht="37.5">
      <c r="A127" t="str">
        <f>"Q"&amp;ROW()-1</f>
        <v>Q126</v>
      </c>
      <c r="B127" t="s">
        <v>423</v>
      </c>
      <c r="C127" s="3" t="s">
        <v>424</v>
      </c>
    </row>
  </sheetData>
  <phoneticPr fontId="1"/>
  <pageMargins left="0.7" right="0.7" top="0.75" bottom="0.75" header="0.3" footer="0.3"/>
  <pageSetup paperSize="9" orientation="portrait" horizontalDpi="1200" verticalDpi="12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0"/>
  <sheetViews>
    <sheetView topLeftCell="B1" zoomScale="90" zoomScaleNormal="90" workbookViewId="0">
      <pane ySplit="1" topLeftCell="A2" activePane="bottomLeft" state="frozen"/>
      <selection pane="bottomLeft" activeCell="C20" sqref="C20"/>
    </sheetView>
  </sheetViews>
  <sheetFormatPr defaultRowHeight="18.75"/>
  <cols>
    <col min="1" max="1" width="4.875" customWidth="1"/>
    <col min="2" max="2" width="40.625" customWidth="1"/>
    <col min="3" max="3" width="80.125" customWidth="1"/>
    <col min="4" max="5" width="27.5" customWidth="1"/>
    <col min="6" max="6" width="50.5" customWidth="1"/>
    <col min="7" max="7" width="22.25" customWidth="1"/>
    <col min="8" max="8" width="19.75" customWidth="1"/>
    <col min="9" max="9" width="19.375" customWidth="1"/>
  </cols>
  <sheetData>
    <row r="1" spans="1:9">
      <c r="A1" s="1" t="s">
        <v>0</v>
      </c>
      <c r="B1" s="1" t="s">
        <v>1</v>
      </c>
      <c r="C1" s="1" t="s">
        <v>2</v>
      </c>
      <c r="D1" s="7" t="s">
        <v>3</v>
      </c>
      <c r="E1" s="7" t="s">
        <v>4</v>
      </c>
      <c r="F1" s="7" t="s">
        <v>5</v>
      </c>
      <c r="G1" s="1" t="s">
        <v>6</v>
      </c>
      <c r="H1" s="1" t="s">
        <v>7</v>
      </c>
      <c r="I1" s="1" t="s">
        <v>8</v>
      </c>
    </row>
    <row r="2" spans="1:9">
      <c r="A2">
        <f t="shared" ref="A2:A33" si="0">IF(B2="","",ROW()-1)</f>
        <v>1</v>
      </c>
      <c r="B2" t="s">
        <v>9</v>
      </c>
      <c r="C2" s="3" t="s">
        <v>9</v>
      </c>
      <c r="D2" s="5"/>
      <c r="E2" s="5"/>
      <c r="F2" s="5"/>
    </row>
    <row r="3" spans="1:9">
      <c r="A3" t="str">
        <f t="shared" si="0"/>
        <v/>
      </c>
      <c r="C3" s="3"/>
      <c r="D3" s="5"/>
      <c r="E3" s="5"/>
      <c r="F3" s="5"/>
      <c r="G3" t="str">
        <f t="shared" ref="G3:G34" ca="1" si="1">IF(B3="","",MID(CELL("filename",A2),FIND("]",CELL("filename",A2))+1,31))</f>
        <v/>
      </c>
    </row>
    <row r="4" spans="1:9">
      <c r="A4" t="str">
        <f t="shared" si="0"/>
        <v/>
      </c>
      <c r="C4" s="2"/>
      <c r="D4" s="6"/>
      <c r="E4" s="6"/>
      <c r="F4" s="6"/>
      <c r="G4" t="str">
        <f t="shared" ca="1" si="1"/>
        <v/>
      </c>
    </row>
    <row r="5" spans="1:9">
      <c r="A5" t="str">
        <f t="shared" si="0"/>
        <v/>
      </c>
      <c r="C5" s="2"/>
      <c r="D5" s="6"/>
      <c r="E5" s="6"/>
      <c r="F5" s="6"/>
      <c r="G5" t="str">
        <f t="shared" ca="1" si="1"/>
        <v/>
      </c>
    </row>
    <row r="6" spans="1:9">
      <c r="A6" t="str">
        <f t="shared" si="0"/>
        <v/>
      </c>
      <c r="C6" s="2"/>
      <c r="D6" s="6"/>
      <c r="E6" s="6"/>
      <c r="F6" s="6"/>
      <c r="G6" t="str">
        <f t="shared" ca="1" si="1"/>
        <v/>
      </c>
    </row>
    <row r="7" spans="1:9">
      <c r="A7" t="str">
        <f t="shared" si="0"/>
        <v/>
      </c>
      <c r="C7" s="2"/>
      <c r="G7" t="str">
        <f t="shared" ca="1" si="1"/>
        <v/>
      </c>
    </row>
    <row r="8" spans="1:9">
      <c r="A8" t="str">
        <f t="shared" si="0"/>
        <v/>
      </c>
      <c r="C8" s="2"/>
      <c r="G8" t="str">
        <f t="shared" ca="1" si="1"/>
        <v/>
      </c>
    </row>
    <row r="9" spans="1:9">
      <c r="A9" t="str">
        <f t="shared" si="0"/>
        <v/>
      </c>
      <c r="C9" s="2"/>
      <c r="G9" t="str">
        <f t="shared" ca="1" si="1"/>
        <v/>
      </c>
    </row>
    <row r="10" spans="1:9">
      <c r="A10" t="str">
        <f t="shared" si="0"/>
        <v/>
      </c>
      <c r="C10" s="2"/>
      <c r="G10" t="str">
        <f t="shared" ca="1" si="1"/>
        <v/>
      </c>
    </row>
    <row r="11" spans="1:9">
      <c r="A11" t="str">
        <f t="shared" si="0"/>
        <v/>
      </c>
      <c r="C11" s="2"/>
      <c r="G11" t="str">
        <f t="shared" ca="1" si="1"/>
        <v/>
      </c>
    </row>
    <row r="12" spans="1:9">
      <c r="A12" t="str">
        <f t="shared" si="0"/>
        <v/>
      </c>
      <c r="C12" s="2"/>
      <c r="G12" t="str">
        <f t="shared" ca="1" si="1"/>
        <v/>
      </c>
    </row>
    <row r="13" spans="1:9">
      <c r="A13" t="str">
        <f t="shared" si="0"/>
        <v/>
      </c>
      <c r="C13" s="2"/>
      <c r="G13" t="str">
        <f t="shared" ca="1" si="1"/>
        <v/>
      </c>
    </row>
    <row r="14" spans="1:9">
      <c r="A14" t="str">
        <f t="shared" si="0"/>
        <v/>
      </c>
      <c r="C14" s="2"/>
      <c r="G14" t="str">
        <f t="shared" ca="1" si="1"/>
        <v/>
      </c>
    </row>
    <row r="15" spans="1:9">
      <c r="A15" t="str">
        <f t="shared" si="0"/>
        <v/>
      </c>
      <c r="C15" s="2"/>
      <c r="G15" t="str">
        <f t="shared" ca="1" si="1"/>
        <v/>
      </c>
    </row>
    <row r="16" spans="1:9">
      <c r="A16" t="str">
        <f t="shared" si="0"/>
        <v/>
      </c>
      <c r="C16" s="2"/>
      <c r="G16" t="str">
        <f t="shared" ca="1" si="1"/>
        <v/>
      </c>
    </row>
    <row r="17" spans="1:7">
      <c r="A17" t="str">
        <f t="shared" si="0"/>
        <v/>
      </c>
      <c r="C17" s="2"/>
      <c r="G17" t="str">
        <f t="shared" ca="1" si="1"/>
        <v/>
      </c>
    </row>
    <row r="18" spans="1:7">
      <c r="A18" t="str">
        <f t="shared" si="0"/>
        <v/>
      </c>
      <c r="C18" s="2"/>
      <c r="G18" t="str">
        <f t="shared" ca="1" si="1"/>
        <v/>
      </c>
    </row>
    <row r="19" spans="1:7">
      <c r="A19" t="str">
        <f t="shared" si="0"/>
        <v/>
      </c>
      <c r="C19" s="2"/>
      <c r="G19" t="str">
        <f t="shared" ca="1" si="1"/>
        <v/>
      </c>
    </row>
    <row r="20" spans="1:7">
      <c r="A20" t="str">
        <f t="shared" si="0"/>
        <v/>
      </c>
      <c r="C20" s="2"/>
      <c r="G20" t="str">
        <f t="shared" ca="1" si="1"/>
        <v/>
      </c>
    </row>
    <row r="21" spans="1:7">
      <c r="A21" t="str">
        <f t="shared" si="0"/>
        <v/>
      </c>
      <c r="C21" s="2"/>
      <c r="G21" t="str">
        <f t="shared" ca="1" si="1"/>
        <v/>
      </c>
    </row>
    <row r="22" spans="1:7">
      <c r="A22" t="str">
        <f t="shared" si="0"/>
        <v/>
      </c>
      <c r="C22" s="2"/>
      <c r="G22" t="str">
        <f t="shared" ca="1" si="1"/>
        <v/>
      </c>
    </row>
    <row r="23" spans="1:7">
      <c r="A23" t="str">
        <f t="shared" si="0"/>
        <v/>
      </c>
      <c r="C23" s="2"/>
      <c r="G23" t="str">
        <f t="shared" ca="1" si="1"/>
        <v/>
      </c>
    </row>
    <row r="24" spans="1:7">
      <c r="A24" t="str">
        <f t="shared" si="0"/>
        <v/>
      </c>
      <c r="C24" s="2"/>
      <c r="G24" t="str">
        <f t="shared" ca="1" si="1"/>
        <v/>
      </c>
    </row>
    <row r="25" spans="1:7">
      <c r="A25" t="str">
        <f t="shared" si="0"/>
        <v/>
      </c>
      <c r="C25" s="2"/>
      <c r="G25" t="str">
        <f t="shared" ca="1" si="1"/>
        <v/>
      </c>
    </row>
    <row r="26" spans="1:7">
      <c r="A26" t="str">
        <f t="shared" si="0"/>
        <v/>
      </c>
      <c r="C26" s="2"/>
      <c r="G26" t="str">
        <f t="shared" ca="1" si="1"/>
        <v/>
      </c>
    </row>
    <row r="27" spans="1:7">
      <c r="A27" t="str">
        <f t="shared" si="0"/>
        <v/>
      </c>
      <c r="C27" s="2"/>
      <c r="G27" t="str">
        <f t="shared" ca="1" si="1"/>
        <v/>
      </c>
    </row>
    <row r="28" spans="1:7">
      <c r="A28" t="str">
        <f t="shared" si="0"/>
        <v/>
      </c>
      <c r="C28" s="2"/>
      <c r="G28" t="str">
        <f t="shared" ca="1" si="1"/>
        <v/>
      </c>
    </row>
    <row r="29" spans="1:7">
      <c r="A29" t="str">
        <f t="shared" si="0"/>
        <v/>
      </c>
      <c r="C29" s="2"/>
      <c r="G29" t="str">
        <f t="shared" ca="1" si="1"/>
        <v/>
      </c>
    </row>
    <row r="30" spans="1:7">
      <c r="A30" t="str">
        <f t="shared" si="0"/>
        <v/>
      </c>
      <c r="C30" s="2"/>
      <c r="G30" t="str">
        <f t="shared" ca="1" si="1"/>
        <v/>
      </c>
    </row>
    <row r="31" spans="1:7">
      <c r="A31" t="str">
        <f t="shared" si="0"/>
        <v/>
      </c>
      <c r="C31" s="2"/>
      <c r="G31" t="str">
        <f t="shared" ca="1" si="1"/>
        <v/>
      </c>
    </row>
    <row r="32" spans="1:7">
      <c r="A32" t="str">
        <f t="shared" si="0"/>
        <v/>
      </c>
      <c r="C32" s="2"/>
      <c r="G32" t="str">
        <f t="shared" ca="1" si="1"/>
        <v/>
      </c>
    </row>
    <row r="33" spans="1:7">
      <c r="A33" t="str">
        <f t="shared" si="0"/>
        <v/>
      </c>
      <c r="C33" s="2"/>
      <c r="G33" t="str">
        <f t="shared" ca="1" si="1"/>
        <v/>
      </c>
    </row>
    <row r="34" spans="1:7">
      <c r="A34" t="str">
        <f t="shared" ref="A34:A65" si="2">IF(B34="","",ROW()-1)</f>
        <v/>
      </c>
      <c r="C34" s="2"/>
      <c r="G34" t="str">
        <f t="shared" ca="1" si="1"/>
        <v/>
      </c>
    </row>
    <row r="35" spans="1:7">
      <c r="A35" t="str">
        <f t="shared" si="2"/>
        <v/>
      </c>
      <c r="C35" s="2"/>
      <c r="G35" t="str">
        <f t="shared" ref="G35:G66" ca="1" si="3">IF(B35="","",MID(CELL("filename",A34),FIND("]",CELL("filename",A34))+1,31))</f>
        <v/>
      </c>
    </row>
    <row r="36" spans="1:7">
      <c r="A36" t="str">
        <f t="shared" si="2"/>
        <v/>
      </c>
      <c r="C36" s="2"/>
      <c r="G36" t="str">
        <f t="shared" ca="1" si="3"/>
        <v/>
      </c>
    </row>
    <row r="37" spans="1:7">
      <c r="A37" t="str">
        <f t="shared" si="2"/>
        <v/>
      </c>
      <c r="C37" s="2"/>
      <c r="G37" t="str">
        <f t="shared" ca="1" si="3"/>
        <v/>
      </c>
    </row>
    <row r="38" spans="1:7">
      <c r="A38" t="str">
        <f t="shared" si="2"/>
        <v/>
      </c>
      <c r="C38" s="2"/>
      <c r="G38" t="str">
        <f t="shared" ca="1" si="3"/>
        <v/>
      </c>
    </row>
    <row r="39" spans="1:7">
      <c r="A39" t="str">
        <f t="shared" si="2"/>
        <v/>
      </c>
      <c r="C39" s="2"/>
      <c r="G39" t="str">
        <f t="shared" ca="1" si="3"/>
        <v/>
      </c>
    </row>
    <row r="40" spans="1:7">
      <c r="A40" t="str">
        <f t="shared" si="2"/>
        <v/>
      </c>
      <c r="C40" s="2"/>
      <c r="G40" t="str">
        <f t="shared" ca="1" si="3"/>
        <v/>
      </c>
    </row>
    <row r="41" spans="1:7">
      <c r="A41" t="str">
        <f t="shared" si="2"/>
        <v/>
      </c>
      <c r="C41" s="2"/>
      <c r="G41" t="str">
        <f t="shared" ca="1" si="3"/>
        <v/>
      </c>
    </row>
    <row r="42" spans="1:7">
      <c r="A42" t="str">
        <f t="shared" si="2"/>
        <v/>
      </c>
      <c r="C42" s="2"/>
      <c r="G42" t="str">
        <f t="shared" ca="1" si="3"/>
        <v/>
      </c>
    </row>
    <row r="43" spans="1:7">
      <c r="A43" t="str">
        <f t="shared" si="2"/>
        <v/>
      </c>
      <c r="C43" s="2"/>
      <c r="G43" t="str">
        <f t="shared" ca="1" si="3"/>
        <v/>
      </c>
    </row>
    <row r="44" spans="1:7">
      <c r="A44" t="str">
        <f t="shared" si="2"/>
        <v/>
      </c>
      <c r="C44" s="2"/>
      <c r="G44" t="str">
        <f t="shared" ca="1" si="3"/>
        <v/>
      </c>
    </row>
    <row r="45" spans="1:7">
      <c r="A45" t="str">
        <f t="shared" si="2"/>
        <v/>
      </c>
      <c r="C45" s="2"/>
      <c r="G45" t="str">
        <f t="shared" ca="1" si="3"/>
        <v/>
      </c>
    </row>
    <row r="46" spans="1:7">
      <c r="A46" t="str">
        <f t="shared" si="2"/>
        <v/>
      </c>
      <c r="C46" s="2"/>
      <c r="G46" t="str">
        <f t="shared" ca="1" si="3"/>
        <v/>
      </c>
    </row>
    <row r="47" spans="1:7">
      <c r="A47" t="str">
        <f t="shared" si="2"/>
        <v/>
      </c>
      <c r="C47" s="2"/>
      <c r="G47" t="str">
        <f t="shared" ca="1" si="3"/>
        <v/>
      </c>
    </row>
    <row r="48" spans="1:7">
      <c r="A48" t="str">
        <f t="shared" si="2"/>
        <v/>
      </c>
      <c r="C48" s="2"/>
      <c r="G48" t="str">
        <f t="shared" ca="1" si="3"/>
        <v/>
      </c>
    </row>
    <row r="49" spans="1:7">
      <c r="A49" t="str">
        <f t="shared" si="2"/>
        <v/>
      </c>
      <c r="C49" s="2"/>
      <c r="G49" t="str">
        <f t="shared" ca="1" si="3"/>
        <v/>
      </c>
    </row>
    <row r="50" spans="1:7">
      <c r="A50" t="str">
        <f t="shared" si="2"/>
        <v/>
      </c>
      <c r="C50" s="2"/>
      <c r="G50" t="str">
        <f t="shared" ca="1" si="3"/>
        <v/>
      </c>
    </row>
    <row r="51" spans="1:7">
      <c r="A51" t="str">
        <f t="shared" si="2"/>
        <v/>
      </c>
      <c r="C51" s="2"/>
      <c r="G51" t="str">
        <f t="shared" ca="1" si="3"/>
        <v/>
      </c>
    </row>
    <row r="52" spans="1:7">
      <c r="A52" t="str">
        <f t="shared" si="2"/>
        <v/>
      </c>
      <c r="C52" s="2"/>
      <c r="G52" t="str">
        <f t="shared" ca="1" si="3"/>
        <v/>
      </c>
    </row>
    <row r="53" spans="1:7">
      <c r="A53" t="str">
        <f t="shared" si="2"/>
        <v/>
      </c>
      <c r="C53" s="2"/>
      <c r="G53" t="str">
        <f t="shared" ca="1" si="3"/>
        <v/>
      </c>
    </row>
    <row r="54" spans="1:7">
      <c r="A54" t="str">
        <f t="shared" si="2"/>
        <v/>
      </c>
      <c r="C54" s="2"/>
      <c r="G54" t="str">
        <f t="shared" ca="1" si="3"/>
        <v/>
      </c>
    </row>
    <row r="55" spans="1:7">
      <c r="A55" t="str">
        <f t="shared" si="2"/>
        <v/>
      </c>
      <c r="C55" s="2"/>
      <c r="G55" t="str">
        <f t="shared" ca="1" si="3"/>
        <v/>
      </c>
    </row>
    <row r="56" spans="1:7">
      <c r="A56" t="str">
        <f t="shared" si="2"/>
        <v/>
      </c>
      <c r="C56" s="2"/>
      <c r="G56" t="str">
        <f t="shared" ca="1" si="3"/>
        <v/>
      </c>
    </row>
    <row r="57" spans="1:7">
      <c r="A57" t="str">
        <f t="shared" si="2"/>
        <v/>
      </c>
      <c r="C57" s="2"/>
      <c r="G57" t="str">
        <f t="shared" ca="1" si="3"/>
        <v/>
      </c>
    </row>
    <row r="58" spans="1:7">
      <c r="A58" t="str">
        <f t="shared" si="2"/>
        <v/>
      </c>
      <c r="C58" s="2"/>
      <c r="G58" t="str">
        <f t="shared" ca="1" si="3"/>
        <v/>
      </c>
    </row>
    <row r="59" spans="1:7">
      <c r="A59" t="str">
        <f t="shared" si="2"/>
        <v/>
      </c>
      <c r="C59" s="2"/>
      <c r="G59" t="str">
        <f t="shared" ca="1" si="3"/>
        <v/>
      </c>
    </row>
    <row r="60" spans="1:7">
      <c r="A60" t="str">
        <f t="shared" si="2"/>
        <v/>
      </c>
      <c r="C60" s="2"/>
      <c r="G60" t="str">
        <f t="shared" ca="1" si="3"/>
        <v/>
      </c>
    </row>
    <row r="61" spans="1:7">
      <c r="A61" t="str">
        <f t="shared" si="2"/>
        <v/>
      </c>
      <c r="C61" s="2"/>
      <c r="G61" t="str">
        <f t="shared" ca="1" si="3"/>
        <v/>
      </c>
    </row>
    <row r="62" spans="1:7">
      <c r="A62" t="str">
        <f t="shared" si="2"/>
        <v/>
      </c>
      <c r="C62" s="2"/>
      <c r="G62" t="str">
        <f t="shared" ca="1" si="3"/>
        <v/>
      </c>
    </row>
    <row r="63" spans="1:7">
      <c r="A63" t="str">
        <f t="shared" si="2"/>
        <v/>
      </c>
      <c r="C63" s="2"/>
      <c r="G63" t="str">
        <f t="shared" ca="1" si="3"/>
        <v/>
      </c>
    </row>
    <row r="64" spans="1:7">
      <c r="A64" t="str">
        <f t="shared" si="2"/>
        <v/>
      </c>
      <c r="C64" s="2"/>
      <c r="G64" t="str">
        <f t="shared" ca="1" si="3"/>
        <v/>
      </c>
    </row>
    <row r="65" spans="1:7">
      <c r="A65" t="str">
        <f t="shared" si="2"/>
        <v/>
      </c>
      <c r="C65" s="2"/>
      <c r="G65" t="str">
        <f t="shared" ca="1" si="3"/>
        <v/>
      </c>
    </row>
    <row r="66" spans="1:7">
      <c r="A66" t="str">
        <f t="shared" ref="A66:A97" si="4">IF(B66="","",ROW()-1)</f>
        <v/>
      </c>
      <c r="C66" s="2"/>
      <c r="G66" t="str">
        <f t="shared" ca="1" si="3"/>
        <v/>
      </c>
    </row>
    <row r="67" spans="1:7">
      <c r="A67" t="str">
        <f t="shared" si="4"/>
        <v/>
      </c>
      <c r="C67" s="2"/>
      <c r="G67" t="str">
        <f t="shared" ref="G67:G100" ca="1" si="5">IF(B67="","",MID(CELL("filename",A66),FIND("]",CELL("filename",A66))+1,31))</f>
        <v/>
      </c>
    </row>
    <row r="68" spans="1:7">
      <c r="A68" t="str">
        <f t="shared" si="4"/>
        <v/>
      </c>
      <c r="C68" s="2"/>
      <c r="G68" t="str">
        <f t="shared" ca="1" si="5"/>
        <v/>
      </c>
    </row>
    <row r="69" spans="1:7">
      <c r="A69" t="str">
        <f t="shared" si="4"/>
        <v/>
      </c>
      <c r="C69" s="2"/>
      <c r="G69" t="str">
        <f t="shared" ca="1" si="5"/>
        <v/>
      </c>
    </row>
    <row r="70" spans="1:7">
      <c r="A70" t="str">
        <f t="shared" si="4"/>
        <v/>
      </c>
      <c r="C70" s="2"/>
      <c r="G70" t="str">
        <f t="shared" ca="1" si="5"/>
        <v/>
      </c>
    </row>
    <row r="71" spans="1:7">
      <c r="A71" t="str">
        <f t="shared" si="4"/>
        <v/>
      </c>
      <c r="C71" s="2"/>
      <c r="G71" t="str">
        <f t="shared" ca="1" si="5"/>
        <v/>
      </c>
    </row>
    <row r="72" spans="1:7">
      <c r="A72" t="str">
        <f t="shared" si="4"/>
        <v/>
      </c>
      <c r="C72" s="2"/>
      <c r="G72" t="str">
        <f t="shared" ca="1" si="5"/>
        <v/>
      </c>
    </row>
    <row r="73" spans="1:7">
      <c r="A73" t="str">
        <f t="shared" si="4"/>
        <v/>
      </c>
      <c r="C73" s="2"/>
      <c r="G73" t="str">
        <f t="shared" ca="1" si="5"/>
        <v/>
      </c>
    </row>
    <row r="74" spans="1:7">
      <c r="A74" t="str">
        <f t="shared" si="4"/>
        <v/>
      </c>
      <c r="C74" s="2"/>
      <c r="G74" t="str">
        <f t="shared" ca="1" si="5"/>
        <v/>
      </c>
    </row>
    <row r="75" spans="1:7">
      <c r="A75" t="str">
        <f t="shared" si="4"/>
        <v/>
      </c>
      <c r="C75" s="2"/>
      <c r="G75" t="str">
        <f t="shared" ca="1" si="5"/>
        <v/>
      </c>
    </row>
    <row r="76" spans="1:7">
      <c r="A76" t="str">
        <f t="shared" si="4"/>
        <v/>
      </c>
      <c r="C76" s="2"/>
      <c r="G76" t="str">
        <f t="shared" ca="1" si="5"/>
        <v/>
      </c>
    </row>
    <row r="77" spans="1:7">
      <c r="A77" t="str">
        <f t="shared" si="4"/>
        <v/>
      </c>
      <c r="C77" s="2"/>
      <c r="G77" t="str">
        <f t="shared" ca="1" si="5"/>
        <v/>
      </c>
    </row>
    <row r="78" spans="1:7">
      <c r="A78" t="str">
        <f t="shared" si="4"/>
        <v/>
      </c>
      <c r="C78" s="2"/>
      <c r="G78" t="str">
        <f t="shared" ca="1" si="5"/>
        <v/>
      </c>
    </row>
    <row r="79" spans="1:7">
      <c r="A79" t="str">
        <f t="shared" si="4"/>
        <v/>
      </c>
      <c r="C79" s="2"/>
      <c r="G79" t="str">
        <f t="shared" ca="1" si="5"/>
        <v/>
      </c>
    </row>
    <row r="80" spans="1:7">
      <c r="A80" t="str">
        <f t="shared" si="4"/>
        <v/>
      </c>
      <c r="C80" s="2"/>
      <c r="G80" t="str">
        <f t="shared" ca="1" si="5"/>
        <v/>
      </c>
    </row>
    <row r="81" spans="1:7">
      <c r="A81" t="str">
        <f t="shared" si="4"/>
        <v/>
      </c>
      <c r="C81" s="2"/>
      <c r="G81" t="str">
        <f t="shared" ca="1" si="5"/>
        <v/>
      </c>
    </row>
    <row r="82" spans="1:7">
      <c r="A82" t="str">
        <f t="shared" si="4"/>
        <v/>
      </c>
      <c r="C82" s="2"/>
      <c r="G82" t="str">
        <f t="shared" ca="1" si="5"/>
        <v/>
      </c>
    </row>
    <row r="83" spans="1:7">
      <c r="A83" t="str">
        <f t="shared" si="4"/>
        <v/>
      </c>
      <c r="C83" s="2"/>
      <c r="G83" t="str">
        <f t="shared" ca="1" si="5"/>
        <v/>
      </c>
    </row>
    <row r="84" spans="1:7">
      <c r="A84" t="str">
        <f t="shared" si="4"/>
        <v/>
      </c>
      <c r="C84" s="2"/>
      <c r="G84" t="str">
        <f t="shared" ca="1" si="5"/>
        <v/>
      </c>
    </row>
    <row r="85" spans="1:7">
      <c r="A85" t="str">
        <f t="shared" si="4"/>
        <v/>
      </c>
      <c r="C85" s="2"/>
      <c r="G85" t="str">
        <f t="shared" ca="1" si="5"/>
        <v/>
      </c>
    </row>
    <row r="86" spans="1:7">
      <c r="A86" t="str">
        <f t="shared" si="4"/>
        <v/>
      </c>
      <c r="C86" s="2"/>
      <c r="G86" t="str">
        <f t="shared" ca="1" si="5"/>
        <v/>
      </c>
    </row>
    <row r="87" spans="1:7">
      <c r="A87" t="str">
        <f t="shared" si="4"/>
        <v/>
      </c>
      <c r="C87" s="2"/>
      <c r="G87" t="str">
        <f t="shared" ca="1" si="5"/>
        <v/>
      </c>
    </row>
    <row r="88" spans="1:7">
      <c r="A88" t="str">
        <f t="shared" si="4"/>
        <v/>
      </c>
      <c r="C88" s="2"/>
      <c r="G88" t="str">
        <f t="shared" ca="1" si="5"/>
        <v/>
      </c>
    </row>
    <row r="89" spans="1:7">
      <c r="A89" t="str">
        <f t="shared" si="4"/>
        <v/>
      </c>
      <c r="C89" s="2"/>
      <c r="G89" t="str">
        <f t="shared" ca="1" si="5"/>
        <v/>
      </c>
    </row>
    <row r="90" spans="1:7">
      <c r="A90" t="str">
        <f t="shared" si="4"/>
        <v/>
      </c>
      <c r="C90" s="2"/>
      <c r="G90" t="str">
        <f t="shared" ca="1" si="5"/>
        <v/>
      </c>
    </row>
    <row r="91" spans="1:7">
      <c r="A91" t="str">
        <f t="shared" si="4"/>
        <v/>
      </c>
      <c r="C91" s="2"/>
      <c r="G91" t="str">
        <f t="shared" ca="1" si="5"/>
        <v/>
      </c>
    </row>
    <row r="92" spans="1:7">
      <c r="A92" t="str">
        <f t="shared" si="4"/>
        <v/>
      </c>
      <c r="C92" s="2"/>
      <c r="G92" t="str">
        <f t="shared" ca="1" si="5"/>
        <v/>
      </c>
    </row>
    <row r="93" spans="1:7">
      <c r="A93" t="str">
        <f t="shared" si="4"/>
        <v/>
      </c>
      <c r="C93" s="2"/>
      <c r="G93" t="str">
        <f t="shared" ca="1" si="5"/>
        <v/>
      </c>
    </row>
    <row r="94" spans="1:7">
      <c r="A94" t="str">
        <f t="shared" si="4"/>
        <v/>
      </c>
      <c r="C94" s="2"/>
      <c r="G94" t="str">
        <f t="shared" ca="1" si="5"/>
        <v/>
      </c>
    </row>
    <row r="95" spans="1:7">
      <c r="A95" t="str">
        <f t="shared" si="4"/>
        <v/>
      </c>
      <c r="C95" s="2"/>
      <c r="G95" t="str">
        <f t="shared" ca="1" si="5"/>
        <v/>
      </c>
    </row>
    <row r="96" spans="1:7">
      <c r="A96" t="str">
        <f t="shared" si="4"/>
        <v/>
      </c>
      <c r="C96" s="2"/>
      <c r="G96" t="str">
        <f t="shared" ca="1" si="5"/>
        <v/>
      </c>
    </row>
    <row r="97" spans="1:7">
      <c r="A97" t="str">
        <f t="shared" si="4"/>
        <v/>
      </c>
      <c r="C97" s="2"/>
      <c r="G97" t="str">
        <f t="shared" ca="1" si="5"/>
        <v/>
      </c>
    </row>
    <row r="98" spans="1:7">
      <c r="A98" t="str">
        <f t="shared" ref="A98:A100" si="6">IF(B98="","",ROW()-1)</f>
        <v/>
      </c>
      <c r="C98" s="2"/>
      <c r="G98" t="str">
        <f t="shared" ca="1" si="5"/>
        <v/>
      </c>
    </row>
    <row r="99" spans="1:7">
      <c r="A99" t="str">
        <f t="shared" si="6"/>
        <v/>
      </c>
      <c r="C99" s="2"/>
      <c r="G99" t="str">
        <f t="shared" ca="1" si="5"/>
        <v/>
      </c>
    </row>
    <row r="100" spans="1:7">
      <c r="A100" t="str">
        <f t="shared" si="6"/>
        <v/>
      </c>
      <c r="C100" s="2"/>
      <c r="G100" t="str">
        <f t="shared" ca="1" si="5"/>
        <v/>
      </c>
    </row>
  </sheetData>
  <phoneticPr fontId="1"/>
  <pageMargins left="0.7" right="0.7" top="0.75" bottom="0.75" header="0.3" footer="0.3"/>
  <pageSetup paperSize="9" orientation="portrait" horizontalDpi="1200" verticalDpi="12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7457D-8B32-402A-B8A0-8D5AE3A7E23B}">
  <dimension ref="A1:I100"/>
  <sheetViews>
    <sheetView topLeftCell="B1" zoomScale="90" zoomScaleNormal="90" workbookViewId="0">
      <pane ySplit="1" topLeftCell="A2" activePane="bottomLeft" state="frozen"/>
      <selection pane="bottomLeft" activeCell="C10" sqref="C10"/>
    </sheetView>
  </sheetViews>
  <sheetFormatPr defaultRowHeight="18.75"/>
  <cols>
    <col min="1" max="1" width="4.875" customWidth="1"/>
    <col min="2" max="2" width="40.625" customWidth="1"/>
    <col min="3" max="3" width="80.125" customWidth="1"/>
    <col min="4" max="5" width="27.5" customWidth="1"/>
    <col min="6" max="6" width="50.5" customWidth="1"/>
    <col min="7" max="7" width="22.25" customWidth="1"/>
    <col min="8" max="8" width="19.75" customWidth="1"/>
    <col min="9" max="9" width="19.375" customWidth="1"/>
  </cols>
  <sheetData>
    <row r="1" spans="1:9">
      <c r="A1" s="1" t="s">
        <v>0</v>
      </c>
      <c r="B1" s="1" t="s">
        <v>1</v>
      </c>
      <c r="C1" s="1" t="s">
        <v>2</v>
      </c>
      <c r="D1" s="7" t="s">
        <v>3</v>
      </c>
      <c r="E1" s="7" t="s">
        <v>4</v>
      </c>
      <c r="F1" s="7" t="s">
        <v>5</v>
      </c>
      <c r="G1" s="1" t="s">
        <v>6</v>
      </c>
      <c r="H1" s="1" t="s">
        <v>7</v>
      </c>
      <c r="I1" s="1" t="s">
        <v>8</v>
      </c>
    </row>
    <row r="2" spans="1:9">
      <c r="A2">
        <f t="shared" ref="A2:A65" si="0">IF(B2="","",ROW()-1)</f>
        <v>1</v>
      </c>
      <c r="B2" t="s">
        <v>9</v>
      </c>
      <c r="C2" s="3" t="s">
        <v>9</v>
      </c>
      <c r="D2" s="5"/>
      <c r="E2" s="5"/>
      <c r="F2" s="5"/>
    </row>
    <row r="3" spans="1:9">
      <c r="A3" t="str">
        <f t="shared" si="0"/>
        <v/>
      </c>
      <c r="C3" s="3"/>
      <c r="D3" s="5"/>
      <c r="E3" s="5"/>
      <c r="F3" s="5"/>
      <c r="G3" t="str">
        <f t="shared" ref="G3:G66" ca="1" si="1">IF(B3="","",MID(CELL("filename",A2),FIND("]",CELL("filename",A2))+1,31))</f>
        <v/>
      </c>
    </row>
    <row r="4" spans="1:9">
      <c r="A4" t="str">
        <f t="shared" si="0"/>
        <v/>
      </c>
      <c r="C4" s="2"/>
      <c r="D4" s="6"/>
      <c r="E4" s="6"/>
      <c r="F4" s="6"/>
      <c r="G4" t="str">
        <f t="shared" ca="1" si="1"/>
        <v/>
      </c>
    </row>
    <row r="5" spans="1:9">
      <c r="A5" t="str">
        <f t="shared" si="0"/>
        <v/>
      </c>
      <c r="C5" s="2"/>
      <c r="D5" s="6"/>
      <c r="E5" s="6"/>
      <c r="F5" s="6"/>
      <c r="G5" t="str">
        <f t="shared" ca="1" si="1"/>
        <v/>
      </c>
    </row>
    <row r="6" spans="1:9">
      <c r="A6" t="str">
        <f t="shared" si="0"/>
        <v/>
      </c>
      <c r="C6" s="2"/>
      <c r="D6" s="6"/>
      <c r="E6" s="6"/>
      <c r="F6" s="6"/>
      <c r="G6" t="str">
        <f t="shared" ca="1" si="1"/>
        <v/>
      </c>
    </row>
    <row r="7" spans="1:9">
      <c r="A7" t="str">
        <f t="shared" si="0"/>
        <v/>
      </c>
      <c r="C7" s="2"/>
      <c r="G7" t="str">
        <f t="shared" ca="1" si="1"/>
        <v/>
      </c>
    </row>
    <row r="8" spans="1:9">
      <c r="A8" t="str">
        <f t="shared" si="0"/>
        <v/>
      </c>
      <c r="C8" s="2"/>
      <c r="G8" t="str">
        <f t="shared" ca="1" si="1"/>
        <v/>
      </c>
    </row>
    <row r="9" spans="1:9">
      <c r="A9" t="str">
        <f t="shared" si="0"/>
        <v/>
      </c>
      <c r="C9" s="2"/>
      <c r="G9" t="str">
        <f t="shared" ca="1" si="1"/>
        <v/>
      </c>
    </row>
    <row r="10" spans="1:9">
      <c r="A10" t="str">
        <f t="shared" si="0"/>
        <v/>
      </c>
      <c r="C10" s="2"/>
      <c r="G10" t="str">
        <f t="shared" ca="1" si="1"/>
        <v/>
      </c>
    </row>
    <row r="11" spans="1:9">
      <c r="A11" t="str">
        <f t="shared" si="0"/>
        <v/>
      </c>
      <c r="C11" s="2"/>
      <c r="G11" t="str">
        <f t="shared" ca="1" si="1"/>
        <v/>
      </c>
    </row>
    <row r="12" spans="1:9">
      <c r="A12" t="str">
        <f t="shared" si="0"/>
        <v/>
      </c>
      <c r="C12" s="2"/>
      <c r="G12" t="str">
        <f t="shared" ca="1" si="1"/>
        <v/>
      </c>
    </row>
    <row r="13" spans="1:9">
      <c r="A13" t="str">
        <f t="shared" si="0"/>
        <v/>
      </c>
      <c r="C13" s="2"/>
      <c r="G13" t="str">
        <f t="shared" ca="1" si="1"/>
        <v/>
      </c>
    </row>
    <row r="14" spans="1:9">
      <c r="A14" t="str">
        <f t="shared" si="0"/>
        <v/>
      </c>
      <c r="C14" s="2"/>
      <c r="G14" t="str">
        <f t="shared" ca="1" si="1"/>
        <v/>
      </c>
    </row>
    <row r="15" spans="1:9">
      <c r="A15" t="str">
        <f t="shared" si="0"/>
        <v/>
      </c>
      <c r="C15" s="2"/>
      <c r="G15" t="str">
        <f t="shared" ca="1" si="1"/>
        <v/>
      </c>
    </row>
    <row r="16" spans="1:9">
      <c r="A16" t="str">
        <f t="shared" si="0"/>
        <v/>
      </c>
      <c r="C16" s="2"/>
      <c r="G16" t="str">
        <f t="shared" ca="1" si="1"/>
        <v/>
      </c>
    </row>
    <row r="17" spans="1:7">
      <c r="A17" t="str">
        <f t="shared" si="0"/>
        <v/>
      </c>
      <c r="C17" s="2"/>
      <c r="G17" t="str">
        <f t="shared" ca="1" si="1"/>
        <v/>
      </c>
    </row>
    <row r="18" spans="1:7">
      <c r="A18" t="str">
        <f t="shared" si="0"/>
        <v/>
      </c>
      <c r="C18" s="2"/>
      <c r="G18" t="str">
        <f t="shared" ca="1" si="1"/>
        <v/>
      </c>
    </row>
    <row r="19" spans="1:7">
      <c r="A19" t="str">
        <f t="shared" si="0"/>
        <v/>
      </c>
      <c r="C19" s="2"/>
      <c r="G19" t="str">
        <f t="shared" ca="1" si="1"/>
        <v/>
      </c>
    </row>
    <row r="20" spans="1:7">
      <c r="A20" t="str">
        <f t="shared" si="0"/>
        <v/>
      </c>
      <c r="C20" s="2"/>
      <c r="G20" t="str">
        <f t="shared" ca="1" si="1"/>
        <v/>
      </c>
    </row>
    <row r="21" spans="1:7">
      <c r="A21" t="str">
        <f t="shared" si="0"/>
        <v/>
      </c>
      <c r="C21" s="2"/>
      <c r="G21" t="str">
        <f t="shared" ca="1" si="1"/>
        <v/>
      </c>
    </row>
    <row r="22" spans="1:7">
      <c r="A22" t="str">
        <f t="shared" si="0"/>
        <v/>
      </c>
      <c r="C22" s="2"/>
      <c r="G22" t="str">
        <f t="shared" ca="1" si="1"/>
        <v/>
      </c>
    </row>
    <row r="23" spans="1:7">
      <c r="A23" t="str">
        <f t="shared" si="0"/>
        <v/>
      </c>
      <c r="C23" s="2"/>
      <c r="G23" t="str">
        <f t="shared" ca="1" si="1"/>
        <v/>
      </c>
    </row>
    <row r="24" spans="1:7">
      <c r="A24" t="str">
        <f t="shared" si="0"/>
        <v/>
      </c>
      <c r="C24" s="2"/>
      <c r="G24" t="str">
        <f t="shared" ca="1" si="1"/>
        <v/>
      </c>
    </row>
    <row r="25" spans="1:7">
      <c r="A25" t="str">
        <f t="shared" si="0"/>
        <v/>
      </c>
      <c r="C25" s="2"/>
      <c r="G25" t="str">
        <f t="shared" ca="1" si="1"/>
        <v/>
      </c>
    </row>
    <row r="26" spans="1:7">
      <c r="A26" t="str">
        <f t="shared" si="0"/>
        <v/>
      </c>
      <c r="C26" s="2"/>
      <c r="G26" t="str">
        <f t="shared" ca="1" si="1"/>
        <v/>
      </c>
    </row>
    <row r="27" spans="1:7">
      <c r="A27" t="str">
        <f t="shared" si="0"/>
        <v/>
      </c>
      <c r="C27" s="2"/>
      <c r="G27" t="str">
        <f t="shared" ca="1" si="1"/>
        <v/>
      </c>
    </row>
    <row r="28" spans="1:7">
      <c r="A28" t="str">
        <f t="shared" si="0"/>
        <v/>
      </c>
      <c r="C28" s="2"/>
      <c r="G28" t="str">
        <f t="shared" ca="1" si="1"/>
        <v/>
      </c>
    </row>
    <row r="29" spans="1:7">
      <c r="A29" t="str">
        <f t="shared" si="0"/>
        <v/>
      </c>
      <c r="C29" s="2"/>
      <c r="G29" t="str">
        <f t="shared" ca="1" si="1"/>
        <v/>
      </c>
    </row>
    <row r="30" spans="1:7">
      <c r="A30" t="str">
        <f t="shared" si="0"/>
        <v/>
      </c>
      <c r="C30" s="2"/>
      <c r="G30" t="str">
        <f t="shared" ca="1" si="1"/>
        <v/>
      </c>
    </row>
    <row r="31" spans="1:7">
      <c r="A31" t="str">
        <f t="shared" si="0"/>
        <v/>
      </c>
      <c r="C31" s="2"/>
      <c r="G31" t="str">
        <f t="shared" ca="1" si="1"/>
        <v/>
      </c>
    </row>
    <row r="32" spans="1:7">
      <c r="A32" t="str">
        <f t="shared" si="0"/>
        <v/>
      </c>
      <c r="C32" s="2"/>
      <c r="G32" t="str">
        <f t="shared" ca="1" si="1"/>
        <v/>
      </c>
    </row>
    <row r="33" spans="1:7">
      <c r="A33" t="str">
        <f t="shared" si="0"/>
        <v/>
      </c>
      <c r="C33" s="2"/>
      <c r="G33" t="str">
        <f t="shared" ca="1" si="1"/>
        <v/>
      </c>
    </row>
    <row r="34" spans="1:7">
      <c r="A34" t="str">
        <f t="shared" si="0"/>
        <v/>
      </c>
      <c r="C34" s="2"/>
      <c r="G34" t="str">
        <f t="shared" ca="1" si="1"/>
        <v/>
      </c>
    </row>
    <row r="35" spans="1:7">
      <c r="A35" t="str">
        <f t="shared" si="0"/>
        <v/>
      </c>
      <c r="C35" s="2"/>
      <c r="G35" t="str">
        <f t="shared" ca="1" si="1"/>
        <v/>
      </c>
    </row>
    <row r="36" spans="1:7">
      <c r="A36" t="str">
        <f t="shared" si="0"/>
        <v/>
      </c>
      <c r="C36" s="2"/>
      <c r="G36" t="str">
        <f t="shared" ca="1" si="1"/>
        <v/>
      </c>
    </row>
    <row r="37" spans="1:7">
      <c r="A37" t="str">
        <f t="shared" si="0"/>
        <v/>
      </c>
      <c r="C37" s="2"/>
      <c r="G37" t="str">
        <f t="shared" ca="1" si="1"/>
        <v/>
      </c>
    </row>
    <row r="38" spans="1:7">
      <c r="A38" t="str">
        <f t="shared" si="0"/>
        <v/>
      </c>
      <c r="C38" s="2"/>
      <c r="G38" t="str">
        <f t="shared" ca="1" si="1"/>
        <v/>
      </c>
    </row>
    <row r="39" spans="1:7">
      <c r="A39" t="str">
        <f t="shared" si="0"/>
        <v/>
      </c>
      <c r="C39" s="2"/>
      <c r="G39" t="str">
        <f t="shared" ca="1" si="1"/>
        <v/>
      </c>
    </row>
    <row r="40" spans="1:7">
      <c r="A40" t="str">
        <f t="shared" si="0"/>
        <v/>
      </c>
      <c r="C40" s="2"/>
      <c r="G40" t="str">
        <f t="shared" ca="1" si="1"/>
        <v/>
      </c>
    </row>
    <row r="41" spans="1:7">
      <c r="A41" t="str">
        <f t="shared" si="0"/>
        <v/>
      </c>
      <c r="C41" s="2"/>
      <c r="G41" t="str">
        <f t="shared" ca="1" si="1"/>
        <v/>
      </c>
    </row>
    <row r="42" spans="1:7">
      <c r="A42" t="str">
        <f t="shared" si="0"/>
        <v/>
      </c>
      <c r="C42" s="2"/>
      <c r="G42" t="str">
        <f t="shared" ca="1" si="1"/>
        <v/>
      </c>
    </row>
    <row r="43" spans="1:7">
      <c r="A43" t="str">
        <f t="shared" si="0"/>
        <v/>
      </c>
      <c r="C43" s="2"/>
      <c r="G43" t="str">
        <f t="shared" ca="1" si="1"/>
        <v/>
      </c>
    </row>
    <row r="44" spans="1:7">
      <c r="A44" t="str">
        <f t="shared" si="0"/>
        <v/>
      </c>
      <c r="C44" s="2"/>
      <c r="G44" t="str">
        <f t="shared" ca="1" si="1"/>
        <v/>
      </c>
    </row>
    <row r="45" spans="1:7">
      <c r="A45" t="str">
        <f t="shared" si="0"/>
        <v/>
      </c>
      <c r="C45" s="2"/>
      <c r="G45" t="str">
        <f t="shared" ca="1" si="1"/>
        <v/>
      </c>
    </row>
    <row r="46" spans="1:7">
      <c r="A46" t="str">
        <f t="shared" si="0"/>
        <v/>
      </c>
      <c r="C46" s="2"/>
      <c r="G46" t="str">
        <f t="shared" ca="1" si="1"/>
        <v/>
      </c>
    </row>
    <row r="47" spans="1:7">
      <c r="A47" t="str">
        <f t="shared" si="0"/>
        <v/>
      </c>
      <c r="C47" s="2"/>
      <c r="G47" t="str">
        <f t="shared" ca="1" si="1"/>
        <v/>
      </c>
    </row>
    <row r="48" spans="1:7">
      <c r="A48" t="str">
        <f t="shared" si="0"/>
        <v/>
      </c>
      <c r="C48" s="2"/>
      <c r="G48" t="str">
        <f t="shared" ca="1" si="1"/>
        <v/>
      </c>
    </row>
    <row r="49" spans="1:7">
      <c r="A49" t="str">
        <f t="shared" si="0"/>
        <v/>
      </c>
      <c r="C49" s="2"/>
      <c r="G49" t="str">
        <f t="shared" ca="1" si="1"/>
        <v/>
      </c>
    </row>
    <row r="50" spans="1:7">
      <c r="A50" t="str">
        <f t="shared" si="0"/>
        <v/>
      </c>
      <c r="C50" s="2"/>
      <c r="G50" t="str">
        <f t="shared" ca="1" si="1"/>
        <v/>
      </c>
    </row>
    <row r="51" spans="1:7">
      <c r="A51" t="str">
        <f t="shared" si="0"/>
        <v/>
      </c>
      <c r="C51" s="2"/>
      <c r="G51" t="str">
        <f t="shared" ca="1" si="1"/>
        <v/>
      </c>
    </row>
    <row r="52" spans="1:7">
      <c r="A52" t="str">
        <f t="shared" si="0"/>
        <v/>
      </c>
      <c r="C52" s="2"/>
      <c r="G52" t="str">
        <f t="shared" ca="1" si="1"/>
        <v/>
      </c>
    </row>
    <row r="53" spans="1:7">
      <c r="A53" t="str">
        <f t="shared" si="0"/>
        <v/>
      </c>
      <c r="C53" s="2"/>
      <c r="G53" t="str">
        <f t="shared" ca="1" si="1"/>
        <v/>
      </c>
    </row>
    <row r="54" spans="1:7">
      <c r="A54" t="str">
        <f t="shared" si="0"/>
        <v/>
      </c>
      <c r="C54" s="2"/>
      <c r="G54" t="str">
        <f t="shared" ca="1" si="1"/>
        <v/>
      </c>
    </row>
    <row r="55" spans="1:7">
      <c r="A55" t="str">
        <f t="shared" si="0"/>
        <v/>
      </c>
      <c r="C55" s="2"/>
      <c r="G55" t="str">
        <f t="shared" ca="1" si="1"/>
        <v/>
      </c>
    </row>
    <row r="56" spans="1:7">
      <c r="A56" t="str">
        <f t="shared" si="0"/>
        <v/>
      </c>
      <c r="C56" s="2"/>
      <c r="G56" t="str">
        <f t="shared" ca="1" si="1"/>
        <v/>
      </c>
    </row>
    <row r="57" spans="1:7">
      <c r="A57" t="str">
        <f t="shared" si="0"/>
        <v/>
      </c>
      <c r="C57" s="2"/>
      <c r="G57" t="str">
        <f t="shared" ca="1" si="1"/>
        <v/>
      </c>
    </row>
    <row r="58" spans="1:7">
      <c r="A58" t="str">
        <f t="shared" si="0"/>
        <v/>
      </c>
      <c r="C58" s="2"/>
      <c r="G58" t="str">
        <f t="shared" ca="1" si="1"/>
        <v/>
      </c>
    </row>
    <row r="59" spans="1:7">
      <c r="A59" t="str">
        <f t="shared" si="0"/>
        <v/>
      </c>
      <c r="C59" s="2"/>
      <c r="G59" t="str">
        <f t="shared" ca="1" si="1"/>
        <v/>
      </c>
    </row>
    <row r="60" spans="1:7">
      <c r="A60" t="str">
        <f t="shared" si="0"/>
        <v/>
      </c>
      <c r="C60" s="2"/>
      <c r="G60" t="str">
        <f t="shared" ca="1" si="1"/>
        <v/>
      </c>
    </row>
    <row r="61" spans="1:7">
      <c r="A61" t="str">
        <f t="shared" si="0"/>
        <v/>
      </c>
      <c r="C61" s="2"/>
      <c r="G61" t="str">
        <f t="shared" ca="1" si="1"/>
        <v/>
      </c>
    </row>
    <row r="62" spans="1:7">
      <c r="A62" t="str">
        <f t="shared" si="0"/>
        <v/>
      </c>
      <c r="C62" s="2"/>
      <c r="G62" t="str">
        <f t="shared" ca="1" si="1"/>
        <v/>
      </c>
    </row>
    <row r="63" spans="1:7">
      <c r="A63" t="str">
        <f t="shared" si="0"/>
        <v/>
      </c>
      <c r="C63" s="2"/>
      <c r="G63" t="str">
        <f t="shared" ca="1" si="1"/>
        <v/>
      </c>
    </row>
    <row r="64" spans="1:7">
      <c r="A64" t="str">
        <f t="shared" si="0"/>
        <v/>
      </c>
      <c r="C64" s="2"/>
      <c r="G64" t="str">
        <f t="shared" ca="1" si="1"/>
        <v/>
      </c>
    </row>
    <row r="65" spans="1:7">
      <c r="A65" t="str">
        <f t="shared" si="0"/>
        <v/>
      </c>
      <c r="C65" s="2"/>
      <c r="G65" t="str">
        <f t="shared" ca="1" si="1"/>
        <v/>
      </c>
    </row>
    <row r="66" spans="1:7">
      <c r="A66" t="str">
        <f t="shared" ref="A66:A100" si="2">IF(B66="","",ROW()-1)</f>
        <v/>
      </c>
      <c r="C66" s="2"/>
      <c r="G66" t="str">
        <f t="shared" ca="1" si="1"/>
        <v/>
      </c>
    </row>
    <row r="67" spans="1:7">
      <c r="A67" t="str">
        <f t="shared" si="2"/>
        <v/>
      </c>
      <c r="C67" s="2"/>
      <c r="G67" t="str">
        <f t="shared" ref="G67:G100" ca="1" si="3">IF(B67="","",MID(CELL("filename",A66),FIND("]",CELL("filename",A66))+1,31))</f>
        <v/>
      </c>
    </row>
    <row r="68" spans="1:7">
      <c r="A68" t="str">
        <f t="shared" si="2"/>
        <v/>
      </c>
      <c r="C68" s="2"/>
      <c r="G68" t="str">
        <f t="shared" ca="1" si="3"/>
        <v/>
      </c>
    </row>
    <row r="69" spans="1:7">
      <c r="A69" t="str">
        <f t="shared" si="2"/>
        <v/>
      </c>
      <c r="C69" s="2"/>
      <c r="G69" t="str">
        <f t="shared" ca="1" si="3"/>
        <v/>
      </c>
    </row>
    <row r="70" spans="1:7">
      <c r="A70" t="str">
        <f t="shared" si="2"/>
        <v/>
      </c>
      <c r="C70" s="2"/>
      <c r="G70" t="str">
        <f t="shared" ca="1" si="3"/>
        <v/>
      </c>
    </row>
    <row r="71" spans="1:7">
      <c r="A71" t="str">
        <f t="shared" si="2"/>
        <v/>
      </c>
      <c r="C71" s="2"/>
      <c r="G71" t="str">
        <f t="shared" ca="1" si="3"/>
        <v/>
      </c>
    </row>
    <row r="72" spans="1:7">
      <c r="A72" t="str">
        <f t="shared" si="2"/>
        <v/>
      </c>
      <c r="C72" s="2"/>
      <c r="G72" t="str">
        <f t="shared" ca="1" si="3"/>
        <v/>
      </c>
    </row>
    <row r="73" spans="1:7">
      <c r="A73" t="str">
        <f t="shared" si="2"/>
        <v/>
      </c>
      <c r="C73" s="2"/>
      <c r="G73" t="str">
        <f t="shared" ca="1" si="3"/>
        <v/>
      </c>
    </row>
    <row r="74" spans="1:7">
      <c r="A74" t="str">
        <f t="shared" si="2"/>
        <v/>
      </c>
      <c r="C74" s="2"/>
      <c r="G74" t="str">
        <f t="shared" ca="1" si="3"/>
        <v/>
      </c>
    </row>
    <row r="75" spans="1:7">
      <c r="A75" t="str">
        <f t="shared" si="2"/>
        <v/>
      </c>
      <c r="C75" s="2"/>
      <c r="G75" t="str">
        <f t="shared" ca="1" si="3"/>
        <v/>
      </c>
    </row>
    <row r="76" spans="1:7">
      <c r="A76" t="str">
        <f t="shared" si="2"/>
        <v/>
      </c>
      <c r="C76" s="2"/>
      <c r="G76" t="str">
        <f t="shared" ca="1" si="3"/>
        <v/>
      </c>
    </row>
    <row r="77" spans="1:7">
      <c r="A77" t="str">
        <f t="shared" si="2"/>
        <v/>
      </c>
      <c r="C77" s="2"/>
      <c r="G77" t="str">
        <f t="shared" ca="1" si="3"/>
        <v/>
      </c>
    </row>
    <row r="78" spans="1:7">
      <c r="A78" t="str">
        <f t="shared" si="2"/>
        <v/>
      </c>
      <c r="C78" s="2"/>
      <c r="G78" t="str">
        <f t="shared" ca="1" si="3"/>
        <v/>
      </c>
    </row>
    <row r="79" spans="1:7">
      <c r="A79" t="str">
        <f t="shared" si="2"/>
        <v/>
      </c>
      <c r="C79" s="2"/>
      <c r="G79" t="str">
        <f t="shared" ca="1" si="3"/>
        <v/>
      </c>
    </row>
    <row r="80" spans="1:7">
      <c r="A80" t="str">
        <f t="shared" si="2"/>
        <v/>
      </c>
      <c r="C80" s="2"/>
      <c r="G80" t="str">
        <f t="shared" ca="1" si="3"/>
        <v/>
      </c>
    </row>
    <row r="81" spans="1:7">
      <c r="A81" t="str">
        <f t="shared" si="2"/>
        <v/>
      </c>
      <c r="C81" s="2"/>
      <c r="G81" t="str">
        <f t="shared" ca="1" si="3"/>
        <v/>
      </c>
    </row>
    <row r="82" spans="1:7">
      <c r="A82" t="str">
        <f t="shared" si="2"/>
        <v/>
      </c>
      <c r="C82" s="2"/>
      <c r="G82" t="str">
        <f t="shared" ca="1" si="3"/>
        <v/>
      </c>
    </row>
    <row r="83" spans="1:7">
      <c r="A83" t="str">
        <f t="shared" si="2"/>
        <v/>
      </c>
      <c r="C83" s="2"/>
      <c r="G83" t="str">
        <f t="shared" ca="1" si="3"/>
        <v/>
      </c>
    </row>
    <row r="84" spans="1:7">
      <c r="A84" t="str">
        <f t="shared" si="2"/>
        <v/>
      </c>
      <c r="C84" s="2"/>
      <c r="G84" t="str">
        <f t="shared" ca="1" si="3"/>
        <v/>
      </c>
    </row>
    <row r="85" spans="1:7">
      <c r="A85" t="str">
        <f t="shared" si="2"/>
        <v/>
      </c>
      <c r="C85" s="2"/>
      <c r="G85" t="str">
        <f t="shared" ca="1" si="3"/>
        <v/>
      </c>
    </row>
    <row r="86" spans="1:7">
      <c r="A86" t="str">
        <f t="shared" si="2"/>
        <v/>
      </c>
      <c r="C86" s="2"/>
      <c r="G86" t="str">
        <f t="shared" ca="1" si="3"/>
        <v/>
      </c>
    </row>
    <row r="87" spans="1:7">
      <c r="A87" t="str">
        <f t="shared" si="2"/>
        <v/>
      </c>
      <c r="C87" s="2"/>
      <c r="G87" t="str">
        <f t="shared" ca="1" si="3"/>
        <v/>
      </c>
    </row>
    <row r="88" spans="1:7">
      <c r="A88" t="str">
        <f t="shared" si="2"/>
        <v/>
      </c>
      <c r="C88" s="2"/>
      <c r="G88" t="str">
        <f t="shared" ca="1" si="3"/>
        <v/>
      </c>
    </row>
    <row r="89" spans="1:7">
      <c r="A89" t="str">
        <f t="shared" si="2"/>
        <v/>
      </c>
      <c r="C89" s="2"/>
      <c r="G89" t="str">
        <f t="shared" ca="1" si="3"/>
        <v/>
      </c>
    </row>
    <row r="90" spans="1:7">
      <c r="A90" t="str">
        <f t="shared" si="2"/>
        <v/>
      </c>
      <c r="C90" s="2"/>
      <c r="G90" t="str">
        <f t="shared" ca="1" si="3"/>
        <v/>
      </c>
    </row>
    <row r="91" spans="1:7">
      <c r="A91" t="str">
        <f t="shared" si="2"/>
        <v/>
      </c>
      <c r="C91" s="2"/>
      <c r="G91" t="str">
        <f t="shared" ca="1" si="3"/>
        <v/>
      </c>
    </row>
    <row r="92" spans="1:7">
      <c r="A92" t="str">
        <f t="shared" si="2"/>
        <v/>
      </c>
      <c r="C92" s="2"/>
      <c r="G92" t="str">
        <f t="shared" ca="1" si="3"/>
        <v/>
      </c>
    </row>
    <row r="93" spans="1:7">
      <c r="A93" t="str">
        <f t="shared" si="2"/>
        <v/>
      </c>
      <c r="C93" s="2"/>
      <c r="G93" t="str">
        <f t="shared" ca="1" si="3"/>
        <v/>
      </c>
    </row>
    <row r="94" spans="1:7">
      <c r="A94" t="str">
        <f t="shared" si="2"/>
        <v/>
      </c>
      <c r="C94" s="2"/>
      <c r="G94" t="str">
        <f t="shared" ca="1" si="3"/>
        <v/>
      </c>
    </row>
    <row r="95" spans="1:7">
      <c r="A95" t="str">
        <f t="shared" si="2"/>
        <v/>
      </c>
      <c r="C95" s="2"/>
      <c r="G95" t="str">
        <f t="shared" ca="1" si="3"/>
        <v/>
      </c>
    </row>
    <row r="96" spans="1:7">
      <c r="A96" t="str">
        <f t="shared" si="2"/>
        <v/>
      </c>
      <c r="C96" s="2"/>
      <c r="G96" t="str">
        <f t="shared" ca="1" si="3"/>
        <v/>
      </c>
    </row>
    <row r="97" spans="1:7">
      <c r="A97" t="str">
        <f t="shared" si="2"/>
        <v/>
      </c>
      <c r="C97" s="2"/>
      <c r="G97" t="str">
        <f t="shared" ca="1" si="3"/>
        <v/>
      </c>
    </row>
    <row r="98" spans="1:7">
      <c r="A98" t="str">
        <f t="shared" si="2"/>
        <v/>
      </c>
      <c r="C98" s="2"/>
      <c r="G98" t="str">
        <f t="shared" ca="1" si="3"/>
        <v/>
      </c>
    </row>
    <row r="99" spans="1:7">
      <c r="A99" t="str">
        <f t="shared" si="2"/>
        <v/>
      </c>
      <c r="C99" s="2"/>
      <c r="G99" t="str">
        <f t="shared" ca="1" si="3"/>
        <v/>
      </c>
    </row>
    <row r="100" spans="1:7">
      <c r="A100" t="str">
        <f t="shared" si="2"/>
        <v/>
      </c>
      <c r="C100" s="2"/>
      <c r="G100" t="str">
        <f t="shared" ca="1" si="3"/>
        <v/>
      </c>
    </row>
  </sheetData>
  <phoneticPr fontId="1"/>
  <pageMargins left="0.7" right="0.7" top="0.75" bottom="0.75" header="0.3" footer="0.3"/>
  <pageSetup paperSize="9" orientation="portrait" horizontalDpi="1200" verticalDpi="12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943B3-6288-41D2-99B4-EAACB846348E}">
  <dimension ref="A1:I100"/>
  <sheetViews>
    <sheetView topLeftCell="B1" zoomScale="90" zoomScaleNormal="90" workbookViewId="0">
      <pane ySplit="1" topLeftCell="A2" activePane="bottomLeft" state="frozen"/>
      <selection pane="bottomLeft" activeCell="C20" sqref="C20"/>
    </sheetView>
  </sheetViews>
  <sheetFormatPr defaultRowHeight="18.75"/>
  <cols>
    <col min="1" max="1" width="4.875" customWidth="1"/>
    <col min="2" max="2" width="40.625" customWidth="1"/>
    <col min="3" max="3" width="80.125" customWidth="1"/>
    <col min="4" max="5" width="27.5" customWidth="1"/>
    <col min="6" max="6" width="50.5" customWidth="1"/>
    <col min="7" max="7" width="22.25" customWidth="1"/>
    <col min="8" max="8" width="19.75" customWidth="1"/>
    <col min="9" max="9" width="19.375" customWidth="1"/>
  </cols>
  <sheetData>
    <row r="1" spans="1:9">
      <c r="A1" s="1" t="s">
        <v>0</v>
      </c>
      <c r="B1" s="1" t="s">
        <v>1</v>
      </c>
      <c r="C1" s="1" t="s">
        <v>2</v>
      </c>
      <c r="D1" s="7" t="s">
        <v>3</v>
      </c>
      <c r="E1" s="7" t="s">
        <v>4</v>
      </c>
      <c r="F1" s="7" t="s">
        <v>5</v>
      </c>
      <c r="G1" s="1" t="s">
        <v>6</v>
      </c>
      <c r="H1" s="1" t="s">
        <v>7</v>
      </c>
      <c r="I1" s="1" t="s">
        <v>8</v>
      </c>
    </row>
    <row r="2" spans="1:9">
      <c r="A2">
        <f t="shared" ref="A2:A65" si="0">IF(B2="","",ROW()-1)</f>
        <v>1</v>
      </c>
      <c r="B2" t="s">
        <v>9</v>
      </c>
      <c r="C2" s="3" t="s">
        <v>9</v>
      </c>
      <c r="D2" s="5"/>
      <c r="E2" s="5"/>
      <c r="F2" s="5"/>
    </row>
    <row r="3" spans="1:9">
      <c r="A3" t="str">
        <f t="shared" si="0"/>
        <v/>
      </c>
      <c r="C3" s="3"/>
      <c r="D3" s="5"/>
      <c r="E3" s="5"/>
      <c r="F3" s="5"/>
      <c r="G3" t="str">
        <f t="shared" ref="G3:G66" ca="1" si="1">IF(B3="","",MID(CELL("filename",A2),FIND("]",CELL("filename",A2))+1,31))</f>
        <v/>
      </c>
    </row>
    <row r="4" spans="1:9">
      <c r="A4" t="str">
        <f t="shared" si="0"/>
        <v/>
      </c>
      <c r="C4" s="2"/>
      <c r="D4" s="6"/>
      <c r="E4" s="6"/>
      <c r="F4" s="6"/>
      <c r="G4" t="str">
        <f t="shared" ca="1" si="1"/>
        <v/>
      </c>
    </row>
    <row r="5" spans="1:9">
      <c r="A5" t="str">
        <f t="shared" si="0"/>
        <v/>
      </c>
      <c r="C5" s="2"/>
      <c r="D5" s="6"/>
      <c r="E5" s="6"/>
      <c r="F5" s="6"/>
      <c r="G5" t="str">
        <f t="shared" ca="1" si="1"/>
        <v/>
      </c>
    </row>
    <row r="6" spans="1:9">
      <c r="A6" t="str">
        <f t="shared" si="0"/>
        <v/>
      </c>
      <c r="C6" s="2"/>
      <c r="D6" s="6"/>
      <c r="E6" s="6"/>
      <c r="F6" s="6"/>
      <c r="G6" t="str">
        <f t="shared" ca="1" si="1"/>
        <v/>
      </c>
    </row>
    <row r="7" spans="1:9">
      <c r="A7" t="str">
        <f t="shared" si="0"/>
        <v/>
      </c>
      <c r="C7" s="2"/>
      <c r="G7" t="str">
        <f t="shared" ca="1" si="1"/>
        <v/>
      </c>
    </row>
    <row r="8" spans="1:9">
      <c r="A8" t="str">
        <f t="shared" si="0"/>
        <v/>
      </c>
      <c r="C8" s="2"/>
      <c r="G8" t="str">
        <f t="shared" ca="1" si="1"/>
        <v/>
      </c>
    </row>
    <row r="9" spans="1:9">
      <c r="A9" t="str">
        <f t="shared" si="0"/>
        <v/>
      </c>
      <c r="C9" s="2"/>
      <c r="G9" t="str">
        <f t="shared" ca="1" si="1"/>
        <v/>
      </c>
    </row>
    <row r="10" spans="1:9">
      <c r="A10" t="str">
        <f t="shared" si="0"/>
        <v/>
      </c>
      <c r="C10" s="2"/>
      <c r="G10" t="str">
        <f t="shared" ca="1" si="1"/>
        <v/>
      </c>
    </row>
    <row r="11" spans="1:9">
      <c r="A11" t="str">
        <f t="shared" si="0"/>
        <v/>
      </c>
      <c r="C11" s="2"/>
      <c r="G11" t="str">
        <f t="shared" ca="1" si="1"/>
        <v/>
      </c>
    </row>
    <row r="12" spans="1:9">
      <c r="A12" t="str">
        <f t="shared" si="0"/>
        <v/>
      </c>
      <c r="C12" s="2"/>
      <c r="G12" t="str">
        <f t="shared" ca="1" si="1"/>
        <v/>
      </c>
    </row>
    <row r="13" spans="1:9">
      <c r="A13" t="str">
        <f t="shared" si="0"/>
        <v/>
      </c>
      <c r="C13" s="2"/>
      <c r="G13" t="str">
        <f t="shared" ca="1" si="1"/>
        <v/>
      </c>
    </row>
    <row r="14" spans="1:9">
      <c r="A14" t="str">
        <f t="shared" si="0"/>
        <v/>
      </c>
      <c r="C14" s="2"/>
      <c r="G14" t="str">
        <f t="shared" ca="1" si="1"/>
        <v/>
      </c>
    </row>
    <row r="15" spans="1:9">
      <c r="A15" t="str">
        <f t="shared" si="0"/>
        <v/>
      </c>
      <c r="C15" s="2"/>
      <c r="G15" t="str">
        <f t="shared" ca="1" si="1"/>
        <v/>
      </c>
    </row>
    <row r="16" spans="1:9">
      <c r="A16" t="str">
        <f t="shared" si="0"/>
        <v/>
      </c>
      <c r="C16" s="2"/>
      <c r="G16" t="str">
        <f t="shared" ca="1" si="1"/>
        <v/>
      </c>
    </row>
    <row r="17" spans="1:7">
      <c r="A17" t="str">
        <f t="shared" si="0"/>
        <v/>
      </c>
      <c r="C17" s="2"/>
      <c r="G17" t="str">
        <f t="shared" ca="1" si="1"/>
        <v/>
      </c>
    </row>
    <row r="18" spans="1:7">
      <c r="A18" t="str">
        <f t="shared" si="0"/>
        <v/>
      </c>
      <c r="C18" s="2"/>
      <c r="G18" t="str">
        <f t="shared" ca="1" si="1"/>
        <v/>
      </c>
    </row>
    <row r="19" spans="1:7">
      <c r="A19" t="str">
        <f t="shared" si="0"/>
        <v/>
      </c>
      <c r="C19" s="2"/>
      <c r="G19" t="str">
        <f t="shared" ca="1" si="1"/>
        <v/>
      </c>
    </row>
    <row r="20" spans="1:7">
      <c r="A20" t="str">
        <f t="shared" si="0"/>
        <v/>
      </c>
      <c r="C20" s="2"/>
      <c r="G20" t="str">
        <f t="shared" ca="1" si="1"/>
        <v/>
      </c>
    </row>
    <row r="21" spans="1:7">
      <c r="A21" t="str">
        <f t="shared" si="0"/>
        <v/>
      </c>
      <c r="C21" s="2"/>
      <c r="G21" t="str">
        <f t="shared" ca="1" si="1"/>
        <v/>
      </c>
    </row>
    <row r="22" spans="1:7">
      <c r="A22" t="str">
        <f t="shared" si="0"/>
        <v/>
      </c>
      <c r="C22" s="2"/>
      <c r="G22" t="str">
        <f t="shared" ca="1" si="1"/>
        <v/>
      </c>
    </row>
    <row r="23" spans="1:7">
      <c r="A23" t="str">
        <f t="shared" si="0"/>
        <v/>
      </c>
      <c r="C23" s="2"/>
      <c r="G23" t="str">
        <f t="shared" ca="1" si="1"/>
        <v/>
      </c>
    </row>
    <row r="24" spans="1:7">
      <c r="A24" t="str">
        <f t="shared" si="0"/>
        <v/>
      </c>
      <c r="C24" s="2"/>
      <c r="G24" t="str">
        <f t="shared" ca="1" si="1"/>
        <v/>
      </c>
    </row>
    <row r="25" spans="1:7">
      <c r="A25" t="str">
        <f t="shared" si="0"/>
        <v/>
      </c>
      <c r="C25" s="2"/>
      <c r="G25" t="str">
        <f t="shared" ca="1" si="1"/>
        <v/>
      </c>
    </row>
    <row r="26" spans="1:7">
      <c r="A26" t="str">
        <f t="shared" si="0"/>
        <v/>
      </c>
      <c r="C26" s="2"/>
      <c r="G26" t="str">
        <f t="shared" ca="1" si="1"/>
        <v/>
      </c>
    </row>
    <row r="27" spans="1:7">
      <c r="A27" t="str">
        <f t="shared" si="0"/>
        <v/>
      </c>
      <c r="C27" s="2"/>
      <c r="G27" t="str">
        <f t="shared" ca="1" si="1"/>
        <v/>
      </c>
    </row>
    <row r="28" spans="1:7">
      <c r="A28" t="str">
        <f t="shared" si="0"/>
        <v/>
      </c>
      <c r="C28" s="2"/>
      <c r="G28" t="str">
        <f t="shared" ca="1" si="1"/>
        <v/>
      </c>
    </row>
    <row r="29" spans="1:7">
      <c r="A29" t="str">
        <f t="shared" si="0"/>
        <v/>
      </c>
      <c r="C29" s="2"/>
      <c r="G29" t="str">
        <f t="shared" ca="1" si="1"/>
        <v/>
      </c>
    </row>
    <row r="30" spans="1:7">
      <c r="A30" t="str">
        <f t="shared" si="0"/>
        <v/>
      </c>
      <c r="C30" s="2"/>
      <c r="G30" t="str">
        <f t="shared" ca="1" si="1"/>
        <v/>
      </c>
    </row>
    <row r="31" spans="1:7">
      <c r="A31" t="str">
        <f t="shared" si="0"/>
        <v/>
      </c>
      <c r="C31" s="2"/>
      <c r="G31" t="str">
        <f t="shared" ca="1" si="1"/>
        <v/>
      </c>
    </row>
    <row r="32" spans="1:7">
      <c r="A32" t="str">
        <f t="shared" si="0"/>
        <v/>
      </c>
      <c r="C32" s="2"/>
      <c r="G32" t="str">
        <f t="shared" ca="1" si="1"/>
        <v/>
      </c>
    </row>
    <row r="33" spans="1:7">
      <c r="A33" t="str">
        <f t="shared" si="0"/>
        <v/>
      </c>
      <c r="C33" s="2"/>
      <c r="G33" t="str">
        <f t="shared" ca="1" si="1"/>
        <v/>
      </c>
    </row>
    <row r="34" spans="1:7">
      <c r="A34" t="str">
        <f t="shared" si="0"/>
        <v/>
      </c>
      <c r="C34" s="2"/>
      <c r="G34" t="str">
        <f t="shared" ca="1" si="1"/>
        <v/>
      </c>
    </row>
    <row r="35" spans="1:7">
      <c r="A35" t="str">
        <f t="shared" si="0"/>
        <v/>
      </c>
      <c r="C35" s="2"/>
      <c r="G35" t="str">
        <f t="shared" ca="1" si="1"/>
        <v/>
      </c>
    </row>
    <row r="36" spans="1:7">
      <c r="A36" t="str">
        <f t="shared" si="0"/>
        <v/>
      </c>
      <c r="C36" s="2"/>
      <c r="G36" t="str">
        <f t="shared" ca="1" si="1"/>
        <v/>
      </c>
    </row>
    <row r="37" spans="1:7">
      <c r="A37" t="str">
        <f t="shared" si="0"/>
        <v/>
      </c>
      <c r="C37" s="2"/>
      <c r="G37" t="str">
        <f t="shared" ca="1" si="1"/>
        <v/>
      </c>
    </row>
    <row r="38" spans="1:7">
      <c r="A38" t="str">
        <f t="shared" si="0"/>
        <v/>
      </c>
      <c r="C38" s="2"/>
      <c r="G38" t="str">
        <f t="shared" ca="1" si="1"/>
        <v/>
      </c>
    </row>
    <row r="39" spans="1:7">
      <c r="A39" t="str">
        <f t="shared" si="0"/>
        <v/>
      </c>
      <c r="C39" s="2"/>
      <c r="G39" t="str">
        <f t="shared" ca="1" si="1"/>
        <v/>
      </c>
    </row>
    <row r="40" spans="1:7">
      <c r="A40" t="str">
        <f t="shared" si="0"/>
        <v/>
      </c>
      <c r="C40" s="2"/>
      <c r="G40" t="str">
        <f t="shared" ca="1" si="1"/>
        <v/>
      </c>
    </row>
    <row r="41" spans="1:7">
      <c r="A41" t="str">
        <f t="shared" si="0"/>
        <v/>
      </c>
      <c r="C41" s="2"/>
      <c r="G41" t="str">
        <f t="shared" ca="1" si="1"/>
        <v/>
      </c>
    </row>
    <row r="42" spans="1:7">
      <c r="A42" t="str">
        <f t="shared" si="0"/>
        <v/>
      </c>
      <c r="C42" s="2"/>
      <c r="G42" t="str">
        <f t="shared" ca="1" si="1"/>
        <v/>
      </c>
    </row>
    <row r="43" spans="1:7">
      <c r="A43" t="str">
        <f t="shared" si="0"/>
        <v/>
      </c>
      <c r="C43" s="2"/>
      <c r="G43" t="str">
        <f t="shared" ca="1" si="1"/>
        <v/>
      </c>
    </row>
    <row r="44" spans="1:7">
      <c r="A44" t="str">
        <f t="shared" si="0"/>
        <v/>
      </c>
      <c r="C44" s="2"/>
      <c r="G44" t="str">
        <f t="shared" ca="1" si="1"/>
        <v/>
      </c>
    </row>
    <row r="45" spans="1:7">
      <c r="A45" t="str">
        <f t="shared" si="0"/>
        <v/>
      </c>
      <c r="C45" s="2"/>
      <c r="G45" t="str">
        <f t="shared" ca="1" si="1"/>
        <v/>
      </c>
    </row>
    <row r="46" spans="1:7">
      <c r="A46" t="str">
        <f t="shared" si="0"/>
        <v/>
      </c>
      <c r="C46" s="2"/>
      <c r="G46" t="str">
        <f t="shared" ca="1" si="1"/>
        <v/>
      </c>
    </row>
    <row r="47" spans="1:7">
      <c r="A47" t="str">
        <f t="shared" si="0"/>
        <v/>
      </c>
      <c r="C47" s="2"/>
      <c r="G47" t="str">
        <f t="shared" ca="1" si="1"/>
        <v/>
      </c>
    </row>
    <row r="48" spans="1:7">
      <c r="A48" t="str">
        <f t="shared" si="0"/>
        <v/>
      </c>
      <c r="C48" s="2"/>
      <c r="G48" t="str">
        <f t="shared" ca="1" si="1"/>
        <v/>
      </c>
    </row>
    <row r="49" spans="1:7">
      <c r="A49" t="str">
        <f t="shared" si="0"/>
        <v/>
      </c>
      <c r="C49" s="2"/>
      <c r="G49" t="str">
        <f t="shared" ca="1" si="1"/>
        <v/>
      </c>
    </row>
    <row r="50" spans="1:7">
      <c r="A50" t="str">
        <f t="shared" si="0"/>
        <v/>
      </c>
      <c r="C50" s="2"/>
      <c r="G50" t="str">
        <f t="shared" ca="1" si="1"/>
        <v/>
      </c>
    </row>
    <row r="51" spans="1:7">
      <c r="A51" t="str">
        <f t="shared" si="0"/>
        <v/>
      </c>
      <c r="C51" s="2"/>
      <c r="G51" t="str">
        <f t="shared" ca="1" si="1"/>
        <v/>
      </c>
    </row>
    <row r="52" spans="1:7">
      <c r="A52" t="str">
        <f t="shared" si="0"/>
        <v/>
      </c>
      <c r="C52" s="2"/>
      <c r="G52" t="str">
        <f t="shared" ca="1" si="1"/>
        <v/>
      </c>
    </row>
    <row r="53" spans="1:7">
      <c r="A53" t="str">
        <f t="shared" si="0"/>
        <v/>
      </c>
      <c r="C53" s="2"/>
      <c r="G53" t="str">
        <f t="shared" ca="1" si="1"/>
        <v/>
      </c>
    </row>
    <row r="54" spans="1:7">
      <c r="A54" t="str">
        <f t="shared" si="0"/>
        <v/>
      </c>
      <c r="C54" s="2"/>
      <c r="G54" t="str">
        <f t="shared" ca="1" si="1"/>
        <v/>
      </c>
    </row>
    <row r="55" spans="1:7">
      <c r="A55" t="str">
        <f t="shared" si="0"/>
        <v/>
      </c>
      <c r="C55" s="2"/>
      <c r="G55" t="str">
        <f t="shared" ca="1" si="1"/>
        <v/>
      </c>
    </row>
    <row r="56" spans="1:7">
      <c r="A56" t="str">
        <f t="shared" si="0"/>
        <v/>
      </c>
      <c r="C56" s="2"/>
      <c r="G56" t="str">
        <f t="shared" ca="1" si="1"/>
        <v/>
      </c>
    </row>
    <row r="57" spans="1:7">
      <c r="A57" t="str">
        <f t="shared" si="0"/>
        <v/>
      </c>
      <c r="C57" s="2"/>
      <c r="G57" t="str">
        <f t="shared" ca="1" si="1"/>
        <v/>
      </c>
    </row>
    <row r="58" spans="1:7">
      <c r="A58" t="str">
        <f t="shared" si="0"/>
        <v/>
      </c>
      <c r="C58" s="2"/>
      <c r="G58" t="str">
        <f t="shared" ca="1" si="1"/>
        <v/>
      </c>
    </row>
    <row r="59" spans="1:7">
      <c r="A59" t="str">
        <f t="shared" si="0"/>
        <v/>
      </c>
      <c r="C59" s="2"/>
      <c r="G59" t="str">
        <f t="shared" ca="1" si="1"/>
        <v/>
      </c>
    </row>
    <row r="60" spans="1:7">
      <c r="A60" t="str">
        <f t="shared" si="0"/>
        <v/>
      </c>
      <c r="C60" s="2"/>
      <c r="G60" t="str">
        <f t="shared" ca="1" si="1"/>
        <v/>
      </c>
    </row>
    <row r="61" spans="1:7">
      <c r="A61" t="str">
        <f t="shared" si="0"/>
        <v/>
      </c>
      <c r="C61" s="2"/>
      <c r="G61" t="str">
        <f t="shared" ca="1" si="1"/>
        <v/>
      </c>
    </row>
    <row r="62" spans="1:7">
      <c r="A62" t="str">
        <f t="shared" si="0"/>
        <v/>
      </c>
      <c r="C62" s="2"/>
      <c r="G62" t="str">
        <f t="shared" ca="1" si="1"/>
        <v/>
      </c>
    </row>
    <row r="63" spans="1:7">
      <c r="A63" t="str">
        <f t="shared" si="0"/>
        <v/>
      </c>
      <c r="C63" s="2"/>
      <c r="G63" t="str">
        <f t="shared" ca="1" si="1"/>
        <v/>
      </c>
    </row>
    <row r="64" spans="1:7">
      <c r="A64" t="str">
        <f t="shared" si="0"/>
        <v/>
      </c>
      <c r="C64" s="2"/>
      <c r="G64" t="str">
        <f t="shared" ca="1" si="1"/>
        <v/>
      </c>
    </row>
    <row r="65" spans="1:7">
      <c r="A65" t="str">
        <f t="shared" si="0"/>
        <v/>
      </c>
      <c r="C65" s="2"/>
      <c r="G65" t="str">
        <f t="shared" ca="1" si="1"/>
        <v/>
      </c>
    </row>
    <row r="66" spans="1:7">
      <c r="A66" t="str">
        <f t="shared" ref="A66:A100" si="2">IF(B66="","",ROW()-1)</f>
        <v/>
      </c>
      <c r="C66" s="2"/>
      <c r="G66" t="str">
        <f t="shared" ca="1" si="1"/>
        <v/>
      </c>
    </row>
    <row r="67" spans="1:7">
      <c r="A67" t="str">
        <f t="shared" si="2"/>
        <v/>
      </c>
      <c r="C67" s="2"/>
      <c r="G67" t="str">
        <f t="shared" ref="G67:G100" ca="1" si="3">IF(B67="","",MID(CELL("filename",A66),FIND("]",CELL("filename",A66))+1,31))</f>
        <v/>
      </c>
    </row>
    <row r="68" spans="1:7">
      <c r="A68" t="str">
        <f t="shared" si="2"/>
        <v/>
      </c>
      <c r="C68" s="2"/>
      <c r="G68" t="str">
        <f t="shared" ca="1" si="3"/>
        <v/>
      </c>
    </row>
    <row r="69" spans="1:7">
      <c r="A69" t="str">
        <f t="shared" si="2"/>
        <v/>
      </c>
      <c r="C69" s="2"/>
      <c r="G69" t="str">
        <f t="shared" ca="1" si="3"/>
        <v/>
      </c>
    </row>
    <row r="70" spans="1:7">
      <c r="A70" t="str">
        <f t="shared" si="2"/>
        <v/>
      </c>
      <c r="C70" s="2"/>
      <c r="G70" t="str">
        <f t="shared" ca="1" si="3"/>
        <v/>
      </c>
    </row>
    <row r="71" spans="1:7">
      <c r="A71" t="str">
        <f t="shared" si="2"/>
        <v/>
      </c>
      <c r="C71" s="2"/>
      <c r="G71" t="str">
        <f t="shared" ca="1" si="3"/>
        <v/>
      </c>
    </row>
    <row r="72" spans="1:7">
      <c r="A72" t="str">
        <f t="shared" si="2"/>
        <v/>
      </c>
      <c r="C72" s="2"/>
      <c r="G72" t="str">
        <f t="shared" ca="1" si="3"/>
        <v/>
      </c>
    </row>
    <row r="73" spans="1:7">
      <c r="A73" t="str">
        <f t="shared" si="2"/>
        <v/>
      </c>
      <c r="C73" s="2"/>
      <c r="G73" t="str">
        <f t="shared" ca="1" si="3"/>
        <v/>
      </c>
    </row>
    <row r="74" spans="1:7">
      <c r="A74" t="str">
        <f t="shared" si="2"/>
        <v/>
      </c>
      <c r="C74" s="2"/>
      <c r="G74" t="str">
        <f t="shared" ca="1" si="3"/>
        <v/>
      </c>
    </row>
    <row r="75" spans="1:7">
      <c r="A75" t="str">
        <f t="shared" si="2"/>
        <v/>
      </c>
      <c r="C75" s="2"/>
      <c r="G75" t="str">
        <f t="shared" ca="1" si="3"/>
        <v/>
      </c>
    </row>
    <row r="76" spans="1:7">
      <c r="A76" t="str">
        <f t="shared" si="2"/>
        <v/>
      </c>
      <c r="C76" s="2"/>
      <c r="G76" t="str">
        <f t="shared" ca="1" si="3"/>
        <v/>
      </c>
    </row>
    <row r="77" spans="1:7">
      <c r="A77" t="str">
        <f t="shared" si="2"/>
        <v/>
      </c>
      <c r="C77" s="2"/>
      <c r="G77" t="str">
        <f t="shared" ca="1" si="3"/>
        <v/>
      </c>
    </row>
    <row r="78" spans="1:7">
      <c r="A78" t="str">
        <f t="shared" si="2"/>
        <v/>
      </c>
      <c r="C78" s="2"/>
      <c r="G78" t="str">
        <f t="shared" ca="1" si="3"/>
        <v/>
      </c>
    </row>
    <row r="79" spans="1:7">
      <c r="A79" t="str">
        <f t="shared" si="2"/>
        <v/>
      </c>
      <c r="C79" s="2"/>
      <c r="G79" t="str">
        <f t="shared" ca="1" si="3"/>
        <v/>
      </c>
    </row>
    <row r="80" spans="1:7">
      <c r="A80" t="str">
        <f t="shared" si="2"/>
        <v/>
      </c>
      <c r="C80" s="2"/>
      <c r="G80" t="str">
        <f t="shared" ca="1" si="3"/>
        <v/>
      </c>
    </row>
    <row r="81" spans="1:7">
      <c r="A81" t="str">
        <f t="shared" si="2"/>
        <v/>
      </c>
      <c r="C81" s="2"/>
      <c r="G81" t="str">
        <f t="shared" ca="1" si="3"/>
        <v/>
      </c>
    </row>
    <row r="82" spans="1:7">
      <c r="A82" t="str">
        <f t="shared" si="2"/>
        <v/>
      </c>
      <c r="C82" s="2"/>
      <c r="G82" t="str">
        <f t="shared" ca="1" si="3"/>
        <v/>
      </c>
    </row>
    <row r="83" spans="1:7">
      <c r="A83" t="str">
        <f t="shared" si="2"/>
        <v/>
      </c>
      <c r="C83" s="2"/>
      <c r="G83" t="str">
        <f t="shared" ca="1" si="3"/>
        <v/>
      </c>
    </row>
    <row r="84" spans="1:7">
      <c r="A84" t="str">
        <f t="shared" si="2"/>
        <v/>
      </c>
      <c r="C84" s="2"/>
      <c r="G84" t="str">
        <f t="shared" ca="1" si="3"/>
        <v/>
      </c>
    </row>
    <row r="85" spans="1:7">
      <c r="A85" t="str">
        <f t="shared" si="2"/>
        <v/>
      </c>
      <c r="C85" s="2"/>
      <c r="G85" t="str">
        <f t="shared" ca="1" si="3"/>
        <v/>
      </c>
    </row>
    <row r="86" spans="1:7">
      <c r="A86" t="str">
        <f t="shared" si="2"/>
        <v/>
      </c>
      <c r="C86" s="2"/>
      <c r="G86" t="str">
        <f t="shared" ca="1" si="3"/>
        <v/>
      </c>
    </row>
    <row r="87" spans="1:7">
      <c r="A87" t="str">
        <f t="shared" si="2"/>
        <v/>
      </c>
      <c r="C87" s="2"/>
      <c r="G87" t="str">
        <f t="shared" ca="1" si="3"/>
        <v/>
      </c>
    </row>
    <row r="88" spans="1:7">
      <c r="A88" t="str">
        <f t="shared" si="2"/>
        <v/>
      </c>
      <c r="C88" s="2"/>
      <c r="G88" t="str">
        <f t="shared" ca="1" si="3"/>
        <v/>
      </c>
    </row>
    <row r="89" spans="1:7">
      <c r="A89" t="str">
        <f t="shared" si="2"/>
        <v/>
      </c>
      <c r="C89" s="2"/>
      <c r="G89" t="str">
        <f t="shared" ca="1" si="3"/>
        <v/>
      </c>
    </row>
    <row r="90" spans="1:7">
      <c r="A90" t="str">
        <f t="shared" si="2"/>
        <v/>
      </c>
      <c r="C90" s="2"/>
      <c r="G90" t="str">
        <f t="shared" ca="1" si="3"/>
        <v/>
      </c>
    </row>
    <row r="91" spans="1:7">
      <c r="A91" t="str">
        <f t="shared" si="2"/>
        <v/>
      </c>
      <c r="C91" s="2"/>
      <c r="G91" t="str">
        <f t="shared" ca="1" si="3"/>
        <v/>
      </c>
    </row>
    <row r="92" spans="1:7">
      <c r="A92" t="str">
        <f t="shared" si="2"/>
        <v/>
      </c>
      <c r="C92" s="2"/>
      <c r="G92" t="str">
        <f t="shared" ca="1" si="3"/>
        <v/>
      </c>
    </row>
    <row r="93" spans="1:7">
      <c r="A93" t="str">
        <f t="shared" si="2"/>
        <v/>
      </c>
      <c r="C93" s="2"/>
      <c r="G93" t="str">
        <f t="shared" ca="1" si="3"/>
        <v/>
      </c>
    </row>
    <row r="94" spans="1:7">
      <c r="A94" t="str">
        <f t="shared" si="2"/>
        <v/>
      </c>
      <c r="C94" s="2"/>
      <c r="G94" t="str">
        <f t="shared" ca="1" si="3"/>
        <v/>
      </c>
    </row>
    <row r="95" spans="1:7">
      <c r="A95" t="str">
        <f t="shared" si="2"/>
        <v/>
      </c>
      <c r="C95" s="2"/>
      <c r="G95" t="str">
        <f t="shared" ca="1" si="3"/>
        <v/>
      </c>
    </row>
    <row r="96" spans="1:7">
      <c r="A96" t="str">
        <f t="shared" si="2"/>
        <v/>
      </c>
      <c r="C96" s="2"/>
      <c r="G96" t="str">
        <f t="shared" ca="1" si="3"/>
        <v/>
      </c>
    </row>
    <row r="97" spans="1:7">
      <c r="A97" t="str">
        <f t="shared" si="2"/>
        <v/>
      </c>
      <c r="C97" s="2"/>
      <c r="G97" t="str">
        <f t="shared" ca="1" si="3"/>
        <v/>
      </c>
    </row>
    <row r="98" spans="1:7">
      <c r="A98" t="str">
        <f t="shared" si="2"/>
        <v/>
      </c>
      <c r="C98" s="2"/>
      <c r="G98" t="str">
        <f t="shared" ca="1" si="3"/>
        <v/>
      </c>
    </row>
    <row r="99" spans="1:7">
      <c r="A99" t="str">
        <f t="shared" si="2"/>
        <v/>
      </c>
      <c r="C99" s="2"/>
      <c r="G99" t="str">
        <f t="shared" ca="1" si="3"/>
        <v/>
      </c>
    </row>
    <row r="100" spans="1:7">
      <c r="A100" t="str">
        <f t="shared" si="2"/>
        <v/>
      </c>
      <c r="C100" s="2"/>
      <c r="G100" t="str">
        <f t="shared" ca="1" si="3"/>
        <v/>
      </c>
    </row>
  </sheetData>
  <phoneticPr fontId="1"/>
  <pageMargins left="0.7" right="0.7" top="0.75" bottom="0.75" header="0.3" footer="0.3"/>
  <pageSetup paperSize="9" orientation="portrait" horizontalDpi="1200" verticalDpi="12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D37F6-0CFB-4E94-86A0-ED318777890D}">
  <dimension ref="A1:E139"/>
  <sheetViews>
    <sheetView workbookViewId="0">
      <pane ySplit="1" topLeftCell="A2" activePane="bottomLeft" state="frozen"/>
      <selection pane="bottomLeft" activeCell="D2" sqref="D2"/>
    </sheetView>
  </sheetViews>
  <sheetFormatPr defaultRowHeight="18.75"/>
  <cols>
    <col min="1" max="1" width="7.5" customWidth="1"/>
    <col min="2" max="2" width="14.875" customWidth="1"/>
    <col min="3" max="3" width="26.25" customWidth="1"/>
    <col min="4" max="4" width="16.25" customWidth="1"/>
    <col min="5" max="5" width="65.625" customWidth="1"/>
  </cols>
  <sheetData>
    <row r="1" spans="1:5">
      <c r="A1" t="s">
        <v>57</v>
      </c>
      <c r="B1" t="s">
        <v>58</v>
      </c>
      <c r="C1" t="s">
        <v>1</v>
      </c>
      <c r="D1" t="s">
        <v>2</v>
      </c>
      <c r="E1" t="s">
        <v>5</v>
      </c>
    </row>
    <row r="2" spans="1:5">
      <c r="A2" t="s">
        <v>59</v>
      </c>
      <c r="B2" t="s">
        <v>53</v>
      </c>
      <c r="C2" t="s">
        <v>201</v>
      </c>
      <c r="D2" t="s">
        <v>422</v>
      </c>
      <c r="E2" t="s">
        <v>202</v>
      </c>
    </row>
    <row r="3" spans="1:5">
      <c r="A3" t="s">
        <v>60</v>
      </c>
      <c r="B3" t="s">
        <v>53</v>
      </c>
      <c r="C3" t="s">
        <v>203</v>
      </c>
      <c r="D3" t="s">
        <v>193</v>
      </c>
      <c r="E3" t="s">
        <v>204</v>
      </c>
    </row>
    <row r="4" spans="1:5">
      <c r="A4" t="s">
        <v>61</v>
      </c>
      <c r="B4" t="s">
        <v>53</v>
      </c>
      <c r="C4" t="s">
        <v>205</v>
      </c>
      <c r="D4" t="s">
        <v>194</v>
      </c>
      <c r="E4" t="s">
        <v>206</v>
      </c>
    </row>
    <row r="5" spans="1:5">
      <c r="A5" t="s">
        <v>62</v>
      </c>
      <c r="B5" t="s">
        <v>53</v>
      </c>
      <c r="C5" t="s">
        <v>195</v>
      </c>
      <c r="D5" t="s">
        <v>194</v>
      </c>
      <c r="E5" t="s">
        <v>207</v>
      </c>
    </row>
    <row r="6" spans="1:5">
      <c r="A6" t="s">
        <v>63</v>
      </c>
      <c r="B6" t="s">
        <v>53</v>
      </c>
      <c r="C6" t="s">
        <v>208</v>
      </c>
      <c r="D6" t="s">
        <v>193</v>
      </c>
      <c r="E6" t="s">
        <v>209</v>
      </c>
    </row>
    <row r="7" spans="1:5">
      <c r="A7" t="s">
        <v>64</v>
      </c>
      <c r="B7" t="s">
        <v>54</v>
      </c>
      <c r="C7" t="s">
        <v>210</v>
      </c>
      <c r="D7" t="s">
        <v>194</v>
      </c>
      <c r="E7" t="s">
        <v>211</v>
      </c>
    </row>
    <row r="8" spans="1:5">
      <c r="A8" t="s">
        <v>65</v>
      </c>
      <c r="B8" t="s">
        <v>54</v>
      </c>
      <c r="C8" t="s">
        <v>212</v>
      </c>
      <c r="D8" t="s">
        <v>193</v>
      </c>
      <c r="E8" t="s">
        <v>213</v>
      </c>
    </row>
    <row r="9" spans="1:5">
      <c r="A9" t="s">
        <v>66</v>
      </c>
      <c r="B9" t="s">
        <v>54</v>
      </c>
      <c r="C9" t="s">
        <v>214</v>
      </c>
      <c r="D9" t="s">
        <v>193</v>
      </c>
      <c r="E9" t="s">
        <v>215</v>
      </c>
    </row>
    <row r="10" spans="1:5">
      <c r="A10" t="s">
        <v>67</v>
      </c>
      <c r="B10" t="s">
        <v>54</v>
      </c>
      <c r="C10" t="s">
        <v>216</v>
      </c>
      <c r="D10" t="s">
        <v>194</v>
      </c>
      <c r="E10" t="s">
        <v>196</v>
      </c>
    </row>
    <row r="11" spans="1:5">
      <c r="A11" t="s">
        <v>68</v>
      </c>
      <c r="B11" t="s">
        <v>54</v>
      </c>
      <c r="C11" t="s">
        <v>217</v>
      </c>
      <c r="D11" t="s">
        <v>193</v>
      </c>
      <c r="E11" t="s">
        <v>218</v>
      </c>
    </row>
    <row r="13" spans="1:5">
      <c r="A13" t="s">
        <v>69</v>
      </c>
      <c r="B13" t="s">
        <v>55</v>
      </c>
      <c r="C13" t="s">
        <v>197</v>
      </c>
      <c r="D13" t="s">
        <v>193</v>
      </c>
      <c r="E13" t="s">
        <v>219</v>
      </c>
    </row>
    <row r="14" spans="1:5">
      <c r="A14" t="s">
        <v>70</v>
      </c>
      <c r="B14" t="s">
        <v>55</v>
      </c>
      <c r="C14" t="s">
        <v>220</v>
      </c>
      <c r="D14" t="s">
        <v>194</v>
      </c>
      <c r="E14" t="s">
        <v>221</v>
      </c>
    </row>
    <row r="15" spans="1:5">
      <c r="A15" t="s">
        <v>71</v>
      </c>
      <c r="B15" t="s">
        <v>55</v>
      </c>
      <c r="C15" t="s">
        <v>222</v>
      </c>
      <c r="D15" t="s">
        <v>193</v>
      </c>
      <c r="E15" t="s">
        <v>223</v>
      </c>
    </row>
    <row r="16" spans="1:5">
      <c r="A16" t="s">
        <v>72</v>
      </c>
      <c r="B16" t="s">
        <v>55</v>
      </c>
      <c r="C16" t="s">
        <v>224</v>
      </c>
      <c r="D16" t="s">
        <v>193</v>
      </c>
      <c r="E16" t="s">
        <v>225</v>
      </c>
    </row>
    <row r="17" spans="1:5">
      <c r="A17" t="s">
        <v>73</v>
      </c>
      <c r="B17" t="s">
        <v>55</v>
      </c>
      <c r="C17" t="s">
        <v>226</v>
      </c>
      <c r="D17" t="s">
        <v>193</v>
      </c>
      <c r="E17" t="s">
        <v>227</v>
      </c>
    </row>
    <row r="19" spans="1:5">
      <c r="A19" t="s">
        <v>74</v>
      </c>
      <c r="B19" t="s">
        <v>198</v>
      </c>
      <c r="C19" t="s">
        <v>200</v>
      </c>
      <c r="D19" t="s">
        <v>193</v>
      </c>
      <c r="E19" t="s">
        <v>228</v>
      </c>
    </row>
    <row r="20" spans="1:5">
      <c r="A20" t="s">
        <v>75</v>
      </c>
      <c r="B20" t="s">
        <v>198</v>
      </c>
      <c r="C20" t="s">
        <v>229</v>
      </c>
      <c r="D20" t="s">
        <v>194</v>
      </c>
      <c r="E20" t="s">
        <v>230</v>
      </c>
    </row>
    <row r="21" spans="1:5">
      <c r="A21" t="s">
        <v>76</v>
      </c>
      <c r="B21" t="s">
        <v>198</v>
      </c>
      <c r="C21" t="s">
        <v>199</v>
      </c>
      <c r="D21" t="s">
        <v>193</v>
      </c>
      <c r="E21" t="s">
        <v>56</v>
      </c>
    </row>
    <row r="22" spans="1:5">
      <c r="A22" t="s">
        <v>77</v>
      </c>
      <c r="B22" t="s">
        <v>198</v>
      </c>
      <c r="C22" t="s">
        <v>231</v>
      </c>
      <c r="D22" t="s">
        <v>193</v>
      </c>
      <c r="E22" t="s">
        <v>232</v>
      </c>
    </row>
    <row r="23" spans="1:5">
      <c r="A23" t="s">
        <v>78</v>
      </c>
      <c r="B23" t="s">
        <v>198</v>
      </c>
      <c r="C23" t="s">
        <v>233</v>
      </c>
      <c r="D23" t="s">
        <v>194</v>
      </c>
      <c r="E23" t="s">
        <v>234</v>
      </c>
    </row>
    <row r="25" spans="1:5">
      <c r="A25" t="s">
        <v>79</v>
      </c>
      <c r="B25" t="s">
        <v>100</v>
      </c>
      <c r="C25" t="s">
        <v>235</v>
      </c>
      <c r="D25" t="s">
        <v>193</v>
      </c>
      <c r="E25" t="s">
        <v>236</v>
      </c>
    </row>
    <row r="26" spans="1:5">
      <c r="A26" t="s">
        <v>80</v>
      </c>
      <c r="B26" t="s">
        <v>100</v>
      </c>
      <c r="C26" t="s">
        <v>237</v>
      </c>
      <c r="D26" t="s">
        <v>193</v>
      </c>
      <c r="E26" t="s">
        <v>238</v>
      </c>
    </row>
    <row r="27" spans="1:5">
      <c r="A27" t="s">
        <v>81</v>
      </c>
      <c r="B27" t="s">
        <v>100</v>
      </c>
      <c r="C27" t="s">
        <v>239</v>
      </c>
      <c r="D27" t="s">
        <v>194</v>
      </c>
      <c r="E27" t="s">
        <v>240</v>
      </c>
    </row>
    <row r="28" spans="1:5">
      <c r="A28" t="s">
        <v>82</v>
      </c>
      <c r="B28" t="s">
        <v>111</v>
      </c>
      <c r="C28" t="s">
        <v>241</v>
      </c>
      <c r="D28" t="s">
        <v>193</v>
      </c>
      <c r="E28" t="s">
        <v>242</v>
      </c>
    </row>
    <row r="29" spans="1:5">
      <c r="A29" t="s">
        <v>83</v>
      </c>
      <c r="B29" t="s">
        <v>111</v>
      </c>
      <c r="C29" t="s">
        <v>243</v>
      </c>
      <c r="D29" t="s">
        <v>194</v>
      </c>
      <c r="E29" t="s">
        <v>244</v>
      </c>
    </row>
    <row r="31" spans="1:5">
      <c r="A31" t="s">
        <v>84</v>
      </c>
      <c r="B31" t="s">
        <v>122</v>
      </c>
      <c r="C31" t="s">
        <v>245</v>
      </c>
      <c r="D31" t="s">
        <v>193</v>
      </c>
      <c r="E31" t="s">
        <v>246</v>
      </c>
    </row>
    <row r="32" spans="1:5">
      <c r="A32" t="s">
        <v>85</v>
      </c>
      <c r="B32" t="s">
        <v>122</v>
      </c>
      <c r="C32" t="s">
        <v>247</v>
      </c>
      <c r="D32" t="s">
        <v>193</v>
      </c>
      <c r="E32" t="s">
        <v>248</v>
      </c>
    </row>
    <row r="33" spans="1:5">
      <c r="A33" t="s">
        <v>86</v>
      </c>
      <c r="B33" t="s">
        <v>122</v>
      </c>
      <c r="C33" t="s">
        <v>249</v>
      </c>
      <c r="D33" t="s">
        <v>194</v>
      </c>
      <c r="E33" t="s">
        <v>250</v>
      </c>
    </row>
    <row r="34" spans="1:5">
      <c r="A34" t="s">
        <v>87</v>
      </c>
      <c r="B34" t="s">
        <v>122</v>
      </c>
      <c r="C34" t="s">
        <v>251</v>
      </c>
      <c r="D34" t="s">
        <v>193</v>
      </c>
      <c r="E34" t="s">
        <v>252</v>
      </c>
    </row>
    <row r="35" spans="1:5">
      <c r="A35" t="s">
        <v>88</v>
      </c>
      <c r="B35" t="s">
        <v>122</v>
      </c>
      <c r="C35" t="s">
        <v>253</v>
      </c>
      <c r="D35" t="s">
        <v>193</v>
      </c>
      <c r="E35" t="s">
        <v>254</v>
      </c>
    </row>
    <row r="37" spans="1:5">
      <c r="A37" t="s">
        <v>89</v>
      </c>
      <c r="B37" t="s">
        <v>133</v>
      </c>
      <c r="C37" t="s">
        <v>255</v>
      </c>
      <c r="D37" t="s">
        <v>193</v>
      </c>
      <c r="E37" t="s">
        <v>256</v>
      </c>
    </row>
    <row r="38" spans="1:5">
      <c r="A38" t="s">
        <v>90</v>
      </c>
      <c r="B38" t="s">
        <v>133</v>
      </c>
      <c r="C38" t="s">
        <v>257</v>
      </c>
      <c r="D38" t="s">
        <v>193</v>
      </c>
      <c r="E38" t="s">
        <v>258</v>
      </c>
    </row>
    <row r="39" spans="1:5">
      <c r="A39" t="s">
        <v>91</v>
      </c>
      <c r="B39" t="s">
        <v>133</v>
      </c>
      <c r="C39" t="s">
        <v>259</v>
      </c>
      <c r="D39" t="s">
        <v>193</v>
      </c>
      <c r="E39" t="s">
        <v>252</v>
      </c>
    </row>
    <row r="40" spans="1:5">
      <c r="A40" t="s">
        <v>92</v>
      </c>
      <c r="B40" t="s">
        <v>133</v>
      </c>
      <c r="C40" t="s">
        <v>260</v>
      </c>
      <c r="D40" t="s">
        <v>194</v>
      </c>
      <c r="E40" t="s">
        <v>261</v>
      </c>
    </row>
    <row r="41" spans="1:5">
      <c r="A41" t="s">
        <v>93</v>
      </c>
      <c r="B41" t="s">
        <v>133</v>
      </c>
      <c r="C41" t="s">
        <v>262</v>
      </c>
      <c r="D41" t="s">
        <v>193</v>
      </c>
      <c r="E41" t="s">
        <v>252</v>
      </c>
    </row>
    <row r="43" spans="1:5">
      <c r="A43" t="s">
        <v>94</v>
      </c>
      <c r="B43" t="s">
        <v>155</v>
      </c>
      <c r="C43" t="s">
        <v>263</v>
      </c>
      <c r="D43" t="s">
        <v>193</v>
      </c>
      <c r="E43" t="s">
        <v>264</v>
      </c>
    </row>
    <row r="44" spans="1:5">
      <c r="A44" t="s">
        <v>95</v>
      </c>
      <c r="B44" t="s">
        <v>155</v>
      </c>
      <c r="C44" t="s">
        <v>265</v>
      </c>
      <c r="D44" t="s">
        <v>193</v>
      </c>
      <c r="E44" t="s">
        <v>252</v>
      </c>
    </row>
    <row r="45" spans="1:5">
      <c r="A45" t="s">
        <v>96</v>
      </c>
      <c r="B45" t="s">
        <v>155</v>
      </c>
      <c r="C45" t="s">
        <v>266</v>
      </c>
      <c r="D45" t="s">
        <v>193</v>
      </c>
      <c r="E45" t="s">
        <v>252</v>
      </c>
    </row>
    <row r="46" spans="1:5">
      <c r="A46" t="s">
        <v>97</v>
      </c>
      <c r="B46" t="s">
        <v>155</v>
      </c>
      <c r="C46" t="s">
        <v>267</v>
      </c>
      <c r="D46" t="s">
        <v>193</v>
      </c>
      <c r="E46" t="s">
        <v>264</v>
      </c>
    </row>
    <row r="47" spans="1:5">
      <c r="A47" t="s">
        <v>98</v>
      </c>
      <c r="B47" t="s">
        <v>155</v>
      </c>
      <c r="C47" t="s">
        <v>268</v>
      </c>
      <c r="D47" t="s">
        <v>193</v>
      </c>
      <c r="E47" t="s">
        <v>269</v>
      </c>
    </row>
    <row r="49" spans="1:5">
      <c r="A49" t="s">
        <v>99</v>
      </c>
      <c r="B49" t="s">
        <v>166</v>
      </c>
      <c r="C49" t="s">
        <v>270</v>
      </c>
      <c r="D49" t="s">
        <v>193</v>
      </c>
      <c r="E49" t="s">
        <v>271</v>
      </c>
    </row>
    <row r="50" spans="1:5">
      <c r="A50" t="s">
        <v>101</v>
      </c>
      <c r="B50" t="s">
        <v>166</v>
      </c>
      <c r="C50" t="s">
        <v>272</v>
      </c>
      <c r="D50" t="s">
        <v>193</v>
      </c>
      <c r="E50" t="s">
        <v>273</v>
      </c>
    </row>
    <row r="51" spans="1:5">
      <c r="A51" t="s">
        <v>102</v>
      </c>
      <c r="B51" t="s">
        <v>166</v>
      </c>
      <c r="C51" t="s">
        <v>274</v>
      </c>
      <c r="D51" t="s">
        <v>193</v>
      </c>
      <c r="E51" t="s">
        <v>273</v>
      </c>
    </row>
    <row r="52" spans="1:5">
      <c r="A52" t="s">
        <v>103</v>
      </c>
      <c r="B52" t="s">
        <v>166</v>
      </c>
      <c r="C52" t="s">
        <v>275</v>
      </c>
      <c r="D52" t="s">
        <v>193</v>
      </c>
      <c r="E52" t="s">
        <v>276</v>
      </c>
    </row>
    <row r="53" spans="1:5">
      <c r="A53" t="s">
        <v>104</v>
      </c>
      <c r="B53" t="s">
        <v>166</v>
      </c>
      <c r="C53" t="s">
        <v>277</v>
      </c>
      <c r="D53" t="s">
        <v>193</v>
      </c>
      <c r="E53" t="s">
        <v>276</v>
      </c>
    </row>
    <row r="55" spans="1:5">
      <c r="A55" t="s">
        <v>105</v>
      </c>
      <c r="B55" t="s">
        <v>144</v>
      </c>
      <c r="C55" t="s">
        <v>278</v>
      </c>
      <c r="D55" t="s">
        <v>193</v>
      </c>
      <c r="E55" t="s">
        <v>279</v>
      </c>
    </row>
    <row r="56" spans="1:5">
      <c r="A56" t="s">
        <v>106</v>
      </c>
      <c r="B56" t="s">
        <v>144</v>
      </c>
      <c r="C56" t="s">
        <v>280</v>
      </c>
      <c r="D56" t="s">
        <v>193</v>
      </c>
      <c r="E56" t="s">
        <v>276</v>
      </c>
    </row>
    <row r="57" spans="1:5">
      <c r="A57" t="s">
        <v>107</v>
      </c>
      <c r="B57" t="s">
        <v>144</v>
      </c>
      <c r="C57" t="s">
        <v>281</v>
      </c>
      <c r="D57" t="s">
        <v>193</v>
      </c>
      <c r="E57" t="s">
        <v>282</v>
      </c>
    </row>
    <row r="58" spans="1:5">
      <c r="A58" t="s">
        <v>108</v>
      </c>
      <c r="B58" t="s">
        <v>144</v>
      </c>
      <c r="C58" t="s">
        <v>283</v>
      </c>
      <c r="D58" t="s">
        <v>193</v>
      </c>
      <c r="E58" t="s">
        <v>273</v>
      </c>
    </row>
    <row r="59" spans="1:5">
      <c r="A59" t="s">
        <v>109</v>
      </c>
      <c r="B59" t="s">
        <v>144</v>
      </c>
      <c r="C59" t="s">
        <v>284</v>
      </c>
      <c r="D59" t="s">
        <v>194</v>
      </c>
      <c r="E59" t="s">
        <v>285</v>
      </c>
    </row>
    <row r="61" spans="1:5">
      <c r="A61" t="s">
        <v>110</v>
      </c>
      <c r="B61" t="s">
        <v>286</v>
      </c>
      <c r="C61" t="s">
        <v>287</v>
      </c>
      <c r="D61" t="s">
        <v>193</v>
      </c>
      <c r="E61" t="s">
        <v>269</v>
      </c>
    </row>
    <row r="62" spans="1:5">
      <c r="A62" t="s">
        <v>112</v>
      </c>
      <c r="B62" t="s">
        <v>286</v>
      </c>
      <c r="C62" t="s">
        <v>288</v>
      </c>
      <c r="D62" t="s">
        <v>193</v>
      </c>
      <c r="E62" t="s">
        <v>269</v>
      </c>
    </row>
    <row r="63" spans="1:5">
      <c r="A63" t="s">
        <v>113</v>
      </c>
      <c r="B63" t="s">
        <v>286</v>
      </c>
      <c r="C63" t="s">
        <v>289</v>
      </c>
      <c r="D63" t="s">
        <v>193</v>
      </c>
      <c r="E63" t="s">
        <v>290</v>
      </c>
    </row>
    <row r="64" spans="1:5">
      <c r="A64" t="s">
        <v>114</v>
      </c>
      <c r="B64" t="s">
        <v>286</v>
      </c>
      <c r="C64" t="s">
        <v>291</v>
      </c>
      <c r="D64" t="s">
        <v>193</v>
      </c>
      <c r="E64" t="s">
        <v>292</v>
      </c>
    </row>
    <row r="65" spans="1:5">
      <c r="A65" t="s">
        <v>115</v>
      </c>
      <c r="B65" t="s">
        <v>286</v>
      </c>
      <c r="C65" t="s">
        <v>293</v>
      </c>
      <c r="D65" t="s">
        <v>194</v>
      </c>
      <c r="E65" t="s">
        <v>294</v>
      </c>
    </row>
    <row r="67" spans="1:5">
      <c r="A67" t="s">
        <v>116</v>
      </c>
      <c r="B67" t="s">
        <v>177</v>
      </c>
      <c r="C67" t="s">
        <v>295</v>
      </c>
      <c r="D67" t="s">
        <v>193</v>
      </c>
      <c r="E67" t="s">
        <v>276</v>
      </c>
    </row>
    <row r="68" spans="1:5">
      <c r="A68" t="s">
        <v>117</v>
      </c>
      <c r="B68" t="s">
        <v>177</v>
      </c>
      <c r="C68" t="s">
        <v>296</v>
      </c>
      <c r="D68" t="s">
        <v>193</v>
      </c>
      <c r="E68" t="s">
        <v>276</v>
      </c>
    </row>
    <row r="69" spans="1:5">
      <c r="A69" t="s">
        <v>118</v>
      </c>
      <c r="B69" t="s">
        <v>177</v>
      </c>
      <c r="C69" t="s">
        <v>297</v>
      </c>
      <c r="D69" t="s">
        <v>193</v>
      </c>
      <c r="E69" t="s">
        <v>276</v>
      </c>
    </row>
    <row r="70" spans="1:5">
      <c r="A70" t="s">
        <v>119</v>
      </c>
      <c r="B70" t="s">
        <v>177</v>
      </c>
      <c r="C70" t="s">
        <v>298</v>
      </c>
      <c r="D70" t="s">
        <v>194</v>
      </c>
      <c r="E70" t="s">
        <v>299</v>
      </c>
    </row>
    <row r="71" spans="1:5">
      <c r="A71" t="s">
        <v>120</v>
      </c>
      <c r="B71" t="s">
        <v>177</v>
      </c>
      <c r="C71" t="s">
        <v>300</v>
      </c>
      <c r="D71" t="s">
        <v>193</v>
      </c>
      <c r="E71" t="s">
        <v>276</v>
      </c>
    </row>
    <row r="73" spans="1:5">
      <c r="A73" t="s">
        <v>121</v>
      </c>
      <c r="B73" t="s">
        <v>188</v>
      </c>
      <c r="C73" t="s">
        <v>301</v>
      </c>
      <c r="D73" t="s">
        <v>193</v>
      </c>
      <c r="E73" t="s">
        <v>276</v>
      </c>
    </row>
    <row r="74" spans="1:5">
      <c r="A74" t="s">
        <v>123</v>
      </c>
      <c r="B74" t="s">
        <v>188</v>
      </c>
      <c r="C74" t="s">
        <v>302</v>
      </c>
      <c r="D74" t="s">
        <v>193</v>
      </c>
      <c r="E74" t="s">
        <v>276</v>
      </c>
    </row>
    <row r="75" spans="1:5">
      <c r="A75" t="s">
        <v>124</v>
      </c>
      <c r="B75" t="s">
        <v>188</v>
      </c>
      <c r="C75" t="s">
        <v>303</v>
      </c>
      <c r="D75" t="s">
        <v>193</v>
      </c>
      <c r="E75" t="s">
        <v>276</v>
      </c>
    </row>
    <row r="76" spans="1:5">
      <c r="A76" t="s">
        <v>125</v>
      </c>
      <c r="B76" t="s">
        <v>188</v>
      </c>
      <c r="C76" t="s">
        <v>304</v>
      </c>
      <c r="D76" t="s">
        <v>193</v>
      </c>
      <c r="E76" t="s">
        <v>276</v>
      </c>
    </row>
    <row r="77" spans="1:5">
      <c r="A77" t="s">
        <v>126</v>
      </c>
      <c r="B77" t="s">
        <v>188</v>
      </c>
      <c r="C77" t="s">
        <v>305</v>
      </c>
      <c r="D77" t="s">
        <v>193</v>
      </c>
      <c r="E77" t="s">
        <v>276</v>
      </c>
    </row>
    <row r="79" spans="1:5">
      <c r="A79" t="s">
        <v>127</v>
      </c>
      <c r="B79" t="s">
        <v>198</v>
      </c>
      <c r="C79" t="s">
        <v>306</v>
      </c>
      <c r="D79" t="s">
        <v>193</v>
      </c>
      <c r="E79" t="s">
        <v>307</v>
      </c>
    </row>
    <row r="80" spans="1:5">
      <c r="A80" t="s">
        <v>128</v>
      </c>
      <c r="B80" t="s">
        <v>198</v>
      </c>
      <c r="C80" t="s">
        <v>308</v>
      </c>
      <c r="D80" t="s">
        <v>193</v>
      </c>
      <c r="E80" t="s">
        <v>309</v>
      </c>
    </row>
    <row r="81" spans="1:5">
      <c r="A81" t="s">
        <v>129</v>
      </c>
      <c r="B81" t="s">
        <v>198</v>
      </c>
      <c r="C81" t="s">
        <v>310</v>
      </c>
      <c r="D81" t="s">
        <v>193</v>
      </c>
      <c r="E81" t="s">
        <v>276</v>
      </c>
    </row>
    <row r="82" spans="1:5">
      <c r="A82" t="s">
        <v>130</v>
      </c>
      <c r="B82" t="s">
        <v>198</v>
      </c>
      <c r="C82" t="s">
        <v>311</v>
      </c>
      <c r="D82" t="s">
        <v>193</v>
      </c>
      <c r="E82" t="s">
        <v>252</v>
      </c>
    </row>
    <row r="83" spans="1:5">
      <c r="A83" t="s">
        <v>131</v>
      </c>
      <c r="B83" t="s">
        <v>198</v>
      </c>
      <c r="C83" t="s">
        <v>312</v>
      </c>
      <c r="D83" t="s">
        <v>193</v>
      </c>
      <c r="E83" t="s">
        <v>276</v>
      </c>
    </row>
    <row r="85" spans="1:5">
      <c r="A85" t="s">
        <v>132</v>
      </c>
      <c r="B85" t="s">
        <v>55</v>
      </c>
      <c r="C85" t="s">
        <v>313</v>
      </c>
      <c r="D85" t="s">
        <v>193</v>
      </c>
      <c r="E85" t="s">
        <v>269</v>
      </c>
    </row>
    <row r="86" spans="1:5">
      <c r="A86" t="s">
        <v>134</v>
      </c>
      <c r="B86" t="s">
        <v>55</v>
      </c>
      <c r="C86" t="s">
        <v>314</v>
      </c>
      <c r="D86" t="s">
        <v>193</v>
      </c>
      <c r="E86" t="s">
        <v>269</v>
      </c>
    </row>
    <row r="87" spans="1:5">
      <c r="A87" t="s">
        <v>135</v>
      </c>
      <c r="B87" t="s">
        <v>55</v>
      </c>
      <c r="C87" t="s">
        <v>315</v>
      </c>
      <c r="D87" t="s">
        <v>193</v>
      </c>
      <c r="E87" t="s">
        <v>276</v>
      </c>
    </row>
    <row r="88" spans="1:5">
      <c r="A88" t="s">
        <v>136</v>
      </c>
      <c r="B88" t="s">
        <v>55</v>
      </c>
      <c r="C88" t="s">
        <v>316</v>
      </c>
      <c r="D88" t="s">
        <v>194</v>
      </c>
      <c r="E88" t="s">
        <v>271</v>
      </c>
    </row>
    <row r="89" spans="1:5">
      <c r="A89" t="s">
        <v>137</v>
      </c>
      <c r="B89" t="s">
        <v>55</v>
      </c>
      <c r="C89" t="s">
        <v>317</v>
      </c>
      <c r="D89" t="s">
        <v>193</v>
      </c>
      <c r="E89" t="s">
        <v>318</v>
      </c>
    </row>
    <row r="90" spans="1:5">
      <c r="A90" t="s">
        <v>138</v>
      </c>
      <c r="B90" t="s">
        <v>319</v>
      </c>
      <c r="C90" t="s">
        <v>320</v>
      </c>
      <c r="D90" t="s">
        <v>193</v>
      </c>
      <c r="E90" t="s">
        <v>276</v>
      </c>
    </row>
    <row r="91" spans="1:5">
      <c r="A91" t="s">
        <v>139</v>
      </c>
      <c r="B91" t="s">
        <v>319</v>
      </c>
      <c r="C91" t="s">
        <v>321</v>
      </c>
      <c r="D91" t="s">
        <v>193</v>
      </c>
      <c r="E91" t="s">
        <v>276</v>
      </c>
    </row>
    <row r="92" spans="1:5">
      <c r="A92" t="s">
        <v>140</v>
      </c>
      <c r="B92" t="s">
        <v>319</v>
      </c>
      <c r="C92" t="s">
        <v>322</v>
      </c>
      <c r="D92" t="s">
        <v>193</v>
      </c>
      <c r="E92" t="s">
        <v>276</v>
      </c>
    </row>
    <row r="93" spans="1:5">
      <c r="A93" t="s">
        <v>141</v>
      </c>
      <c r="B93" t="s">
        <v>319</v>
      </c>
      <c r="C93" t="s">
        <v>323</v>
      </c>
      <c r="D93" t="s">
        <v>193</v>
      </c>
      <c r="E93" t="s">
        <v>276</v>
      </c>
    </row>
    <row r="94" spans="1:5">
      <c r="A94" t="s">
        <v>142</v>
      </c>
      <c r="B94" t="s">
        <v>319</v>
      </c>
      <c r="C94" t="s">
        <v>324</v>
      </c>
      <c r="D94" t="s">
        <v>193</v>
      </c>
      <c r="E94" t="s">
        <v>252</v>
      </c>
    </row>
    <row r="95" spans="1:5">
      <c r="A95" t="s">
        <v>143</v>
      </c>
      <c r="B95" t="s">
        <v>155</v>
      </c>
      <c r="C95" t="s">
        <v>325</v>
      </c>
      <c r="D95" t="s">
        <v>194</v>
      </c>
      <c r="E95" t="s">
        <v>326</v>
      </c>
    </row>
    <row r="96" spans="1:5">
      <c r="A96" t="s">
        <v>145</v>
      </c>
      <c r="B96" t="s">
        <v>155</v>
      </c>
      <c r="C96" t="s">
        <v>327</v>
      </c>
      <c r="D96" t="s">
        <v>193</v>
      </c>
      <c r="E96" t="s">
        <v>328</v>
      </c>
    </row>
    <row r="97" spans="1:5">
      <c r="A97" t="s">
        <v>146</v>
      </c>
      <c r="B97" t="s">
        <v>155</v>
      </c>
      <c r="C97" t="s">
        <v>329</v>
      </c>
      <c r="D97" t="s">
        <v>193</v>
      </c>
      <c r="E97" t="s">
        <v>330</v>
      </c>
    </row>
    <row r="98" spans="1:5">
      <c r="A98" t="s">
        <v>147</v>
      </c>
      <c r="B98" t="s">
        <v>155</v>
      </c>
      <c r="C98" t="s">
        <v>331</v>
      </c>
      <c r="D98" t="s">
        <v>194</v>
      </c>
      <c r="E98" t="s">
        <v>332</v>
      </c>
    </row>
    <row r="99" spans="1:5">
      <c r="A99" t="s">
        <v>148</v>
      </c>
      <c r="B99" t="s">
        <v>155</v>
      </c>
      <c r="C99" t="s">
        <v>333</v>
      </c>
      <c r="D99" t="s">
        <v>193</v>
      </c>
      <c r="E99" t="s">
        <v>334</v>
      </c>
    </row>
    <row r="100" spans="1:5">
      <c r="A100" t="s">
        <v>149</v>
      </c>
      <c r="B100" t="s">
        <v>166</v>
      </c>
      <c r="C100" t="s">
        <v>335</v>
      </c>
      <c r="D100" t="s">
        <v>193</v>
      </c>
      <c r="E100" t="s">
        <v>336</v>
      </c>
    </row>
    <row r="101" spans="1:5">
      <c r="A101" t="s">
        <v>150</v>
      </c>
      <c r="B101" t="s">
        <v>166</v>
      </c>
      <c r="C101" t="s">
        <v>337</v>
      </c>
      <c r="D101" t="s">
        <v>194</v>
      </c>
      <c r="E101" t="s">
        <v>338</v>
      </c>
    </row>
    <row r="102" spans="1:5">
      <c r="A102" t="s">
        <v>151</v>
      </c>
      <c r="B102" t="s">
        <v>166</v>
      </c>
      <c r="C102" t="s">
        <v>339</v>
      </c>
      <c r="D102" t="s">
        <v>193</v>
      </c>
      <c r="E102" t="s">
        <v>340</v>
      </c>
    </row>
    <row r="103" spans="1:5">
      <c r="A103" t="s">
        <v>152</v>
      </c>
      <c r="B103" t="s">
        <v>166</v>
      </c>
      <c r="C103" t="s">
        <v>341</v>
      </c>
      <c r="D103" t="s">
        <v>193</v>
      </c>
      <c r="E103" t="s">
        <v>342</v>
      </c>
    </row>
    <row r="104" spans="1:5">
      <c r="A104" t="s">
        <v>153</v>
      </c>
      <c r="B104" t="s">
        <v>166</v>
      </c>
      <c r="C104" t="s">
        <v>343</v>
      </c>
      <c r="D104" t="s">
        <v>193</v>
      </c>
      <c r="E104" t="s">
        <v>344</v>
      </c>
    </row>
    <row r="105" spans="1:5">
      <c r="A105" t="s">
        <v>154</v>
      </c>
      <c r="B105" t="s">
        <v>166</v>
      </c>
      <c r="C105" t="s">
        <v>345</v>
      </c>
      <c r="D105" t="s">
        <v>193</v>
      </c>
      <c r="E105" t="s">
        <v>346</v>
      </c>
    </row>
    <row r="106" spans="1:5">
      <c r="A106" t="s">
        <v>156</v>
      </c>
      <c r="B106" t="s">
        <v>166</v>
      </c>
      <c r="C106" t="s">
        <v>347</v>
      </c>
      <c r="D106" t="s">
        <v>193</v>
      </c>
      <c r="E106" t="s">
        <v>348</v>
      </c>
    </row>
    <row r="107" spans="1:5">
      <c r="A107" t="s">
        <v>157</v>
      </c>
      <c r="B107" t="s">
        <v>166</v>
      </c>
      <c r="C107" t="s">
        <v>349</v>
      </c>
      <c r="D107" t="s">
        <v>194</v>
      </c>
      <c r="E107" t="s">
        <v>350</v>
      </c>
    </row>
    <row r="108" spans="1:5">
      <c r="A108" t="s">
        <v>158</v>
      </c>
      <c r="B108" t="s">
        <v>166</v>
      </c>
      <c r="C108" t="s">
        <v>351</v>
      </c>
      <c r="D108" t="s">
        <v>193</v>
      </c>
      <c r="E108" t="s">
        <v>352</v>
      </c>
    </row>
    <row r="109" spans="1:5">
      <c r="A109" t="s">
        <v>159</v>
      </c>
      <c r="B109" t="s">
        <v>166</v>
      </c>
      <c r="C109" t="s">
        <v>353</v>
      </c>
      <c r="D109" t="s">
        <v>193</v>
      </c>
      <c r="E109" t="s">
        <v>354</v>
      </c>
    </row>
    <row r="110" spans="1:5">
      <c r="A110" t="s">
        <v>160</v>
      </c>
      <c r="B110" t="s">
        <v>355</v>
      </c>
      <c r="C110" t="s">
        <v>356</v>
      </c>
      <c r="D110" t="s">
        <v>193</v>
      </c>
      <c r="E110" t="s">
        <v>357</v>
      </c>
    </row>
    <row r="111" spans="1:5">
      <c r="A111" t="s">
        <v>161</v>
      </c>
      <c r="B111" t="s">
        <v>355</v>
      </c>
      <c r="C111" t="s">
        <v>358</v>
      </c>
      <c r="D111" t="s">
        <v>193</v>
      </c>
      <c r="E111" t="s">
        <v>359</v>
      </c>
    </row>
    <row r="112" spans="1:5">
      <c r="A112" t="s">
        <v>162</v>
      </c>
      <c r="B112" t="s">
        <v>355</v>
      </c>
      <c r="C112" t="s">
        <v>360</v>
      </c>
      <c r="D112" t="s">
        <v>193</v>
      </c>
      <c r="E112" t="s">
        <v>361</v>
      </c>
    </row>
    <row r="113" spans="1:5">
      <c r="A113" t="s">
        <v>163</v>
      </c>
      <c r="B113" t="s">
        <v>355</v>
      </c>
      <c r="C113" t="s">
        <v>362</v>
      </c>
      <c r="D113" t="s">
        <v>193</v>
      </c>
      <c r="E113" t="s">
        <v>363</v>
      </c>
    </row>
    <row r="114" spans="1:5">
      <c r="A114" t="s">
        <v>164</v>
      </c>
      <c r="B114" t="s">
        <v>355</v>
      </c>
      <c r="C114" t="s">
        <v>364</v>
      </c>
      <c r="D114" t="s">
        <v>193</v>
      </c>
      <c r="E114" t="s">
        <v>365</v>
      </c>
    </row>
    <row r="115" spans="1:5">
      <c r="A115" t="s">
        <v>165</v>
      </c>
      <c r="B115" t="s">
        <v>366</v>
      </c>
      <c r="C115" t="s">
        <v>367</v>
      </c>
      <c r="D115" t="s">
        <v>193</v>
      </c>
      <c r="E115" t="s">
        <v>368</v>
      </c>
    </row>
    <row r="116" spans="1:5">
      <c r="A116" t="s">
        <v>167</v>
      </c>
      <c r="B116" t="s">
        <v>366</v>
      </c>
      <c r="C116" t="s">
        <v>369</v>
      </c>
      <c r="D116" t="s">
        <v>193</v>
      </c>
      <c r="E116" t="s">
        <v>370</v>
      </c>
    </row>
    <row r="117" spans="1:5">
      <c r="A117" t="s">
        <v>168</v>
      </c>
      <c r="B117" t="s">
        <v>366</v>
      </c>
      <c r="C117" t="s">
        <v>371</v>
      </c>
      <c r="D117" t="s">
        <v>193</v>
      </c>
      <c r="E117" t="s">
        <v>372</v>
      </c>
    </row>
    <row r="118" spans="1:5">
      <c r="A118" t="s">
        <v>169</v>
      </c>
      <c r="B118" t="s">
        <v>366</v>
      </c>
      <c r="C118" t="s">
        <v>373</v>
      </c>
      <c r="D118" t="s">
        <v>193</v>
      </c>
      <c r="E118" t="s">
        <v>374</v>
      </c>
    </row>
    <row r="119" spans="1:5">
      <c r="A119" t="s">
        <v>170</v>
      </c>
      <c r="B119" t="s">
        <v>366</v>
      </c>
      <c r="C119" t="s">
        <v>375</v>
      </c>
      <c r="D119" t="s">
        <v>193</v>
      </c>
      <c r="E119" t="s">
        <v>376</v>
      </c>
    </row>
    <row r="120" spans="1:5">
      <c r="A120" t="s">
        <v>171</v>
      </c>
      <c r="B120" t="s">
        <v>377</v>
      </c>
      <c r="C120" t="s">
        <v>378</v>
      </c>
      <c r="D120" t="s">
        <v>193</v>
      </c>
      <c r="E120" t="s">
        <v>379</v>
      </c>
    </row>
    <row r="121" spans="1:5">
      <c r="A121" t="s">
        <v>172</v>
      </c>
      <c r="B121" t="s">
        <v>377</v>
      </c>
      <c r="C121" t="s">
        <v>380</v>
      </c>
      <c r="D121" t="s">
        <v>194</v>
      </c>
      <c r="E121" t="s">
        <v>381</v>
      </c>
    </row>
    <row r="122" spans="1:5">
      <c r="A122" t="s">
        <v>173</v>
      </c>
      <c r="B122" t="s">
        <v>377</v>
      </c>
      <c r="C122" t="s">
        <v>382</v>
      </c>
      <c r="D122" t="s">
        <v>193</v>
      </c>
      <c r="E122" t="s">
        <v>383</v>
      </c>
    </row>
    <row r="123" spans="1:5">
      <c r="A123" t="s">
        <v>174</v>
      </c>
      <c r="B123" t="s">
        <v>384</v>
      </c>
      <c r="C123" t="s">
        <v>385</v>
      </c>
      <c r="D123" t="s">
        <v>193</v>
      </c>
      <c r="E123" t="s">
        <v>386</v>
      </c>
    </row>
    <row r="124" spans="1:5">
      <c r="A124" t="s">
        <v>175</v>
      </c>
      <c r="B124" t="s">
        <v>384</v>
      </c>
      <c r="C124" t="s">
        <v>387</v>
      </c>
      <c r="D124" t="s">
        <v>194</v>
      </c>
      <c r="E124" t="s">
        <v>388</v>
      </c>
    </row>
    <row r="125" spans="1:5">
      <c r="A125" t="s">
        <v>176</v>
      </c>
      <c r="B125" t="s">
        <v>389</v>
      </c>
      <c r="C125" t="s">
        <v>390</v>
      </c>
      <c r="D125" t="s">
        <v>193</v>
      </c>
      <c r="E125" t="s">
        <v>391</v>
      </c>
    </row>
    <row r="126" spans="1:5">
      <c r="A126" t="s">
        <v>178</v>
      </c>
      <c r="B126" t="s">
        <v>389</v>
      </c>
      <c r="C126" t="s">
        <v>392</v>
      </c>
      <c r="D126" t="s">
        <v>193</v>
      </c>
      <c r="E126" t="s">
        <v>393</v>
      </c>
    </row>
    <row r="127" spans="1:5">
      <c r="A127" t="s">
        <v>179</v>
      </c>
      <c r="B127" t="s">
        <v>389</v>
      </c>
      <c r="C127" t="s">
        <v>394</v>
      </c>
      <c r="D127" t="s">
        <v>193</v>
      </c>
      <c r="E127" t="s">
        <v>395</v>
      </c>
    </row>
    <row r="128" spans="1:5">
      <c r="A128" t="s">
        <v>180</v>
      </c>
      <c r="B128" t="s">
        <v>389</v>
      </c>
      <c r="C128" t="s">
        <v>396</v>
      </c>
      <c r="D128" t="s">
        <v>194</v>
      </c>
      <c r="E128" t="s">
        <v>397</v>
      </c>
    </row>
    <row r="129" spans="1:5">
      <c r="A129" t="s">
        <v>181</v>
      </c>
      <c r="B129" t="s">
        <v>398</v>
      </c>
      <c r="C129" t="s">
        <v>399</v>
      </c>
      <c r="D129" t="s">
        <v>193</v>
      </c>
      <c r="E129" t="s">
        <v>400</v>
      </c>
    </row>
    <row r="130" spans="1:5">
      <c r="A130" t="s">
        <v>182</v>
      </c>
      <c r="B130" t="s">
        <v>398</v>
      </c>
      <c r="C130" t="s">
        <v>401</v>
      </c>
      <c r="D130" t="s">
        <v>194</v>
      </c>
      <c r="E130" t="s">
        <v>402</v>
      </c>
    </row>
    <row r="131" spans="1:5">
      <c r="A131" t="s">
        <v>183</v>
      </c>
      <c r="B131" t="s">
        <v>403</v>
      </c>
      <c r="C131" t="s">
        <v>404</v>
      </c>
      <c r="D131" t="s">
        <v>193</v>
      </c>
      <c r="E131" t="s">
        <v>405</v>
      </c>
    </row>
    <row r="132" spans="1:5">
      <c r="A132" t="s">
        <v>184</v>
      </c>
      <c r="B132" t="s">
        <v>403</v>
      </c>
      <c r="C132" t="s">
        <v>406</v>
      </c>
      <c r="D132" t="s">
        <v>193</v>
      </c>
      <c r="E132" s="8" t="s">
        <v>421</v>
      </c>
    </row>
    <row r="133" spans="1:5">
      <c r="A133" t="s">
        <v>185</v>
      </c>
      <c r="B133" t="s">
        <v>403</v>
      </c>
      <c r="C133" t="s">
        <v>407</v>
      </c>
      <c r="D133" t="s">
        <v>193</v>
      </c>
      <c r="E133" t="s">
        <v>408</v>
      </c>
    </row>
    <row r="134" spans="1:5">
      <c r="A134" t="s">
        <v>186</v>
      </c>
      <c r="B134" t="s">
        <v>403</v>
      </c>
      <c r="C134" t="s">
        <v>409</v>
      </c>
      <c r="D134" t="s">
        <v>194</v>
      </c>
      <c r="E134" t="s">
        <v>410</v>
      </c>
    </row>
    <row r="135" spans="1:5">
      <c r="A135" t="s">
        <v>187</v>
      </c>
      <c r="B135" t="s">
        <v>177</v>
      </c>
      <c r="C135" t="s">
        <v>411</v>
      </c>
      <c r="D135" t="s">
        <v>193</v>
      </c>
      <c r="E135" t="s">
        <v>412</v>
      </c>
    </row>
    <row r="136" spans="1:5">
      <c r="A136" t="s">
        <v>189</v>
      </c>
      <c r="B136" t="s">
        <v>177</v>
      </c>
      <c r="C136" t="s">
        <v>413</v>
      </c>
      <c r="D136" t="s">
        <v>193</v>
      </c>
      <c r="E136" t="s">
        <v>414</v>
      </c>
    </row>
    <row r="137" spans="1:5">
      <c r="A137" t="s">
        <v>190</v>
      </c>
      <c r="B137" t="s">
        <v>177</v>
      </c>
      <c r="C137" t="s">
        <v>415</v>
      </c>
      <c r="D137" t="s">
        <v>193</v>
      </c>
      <c r="E137" t="s">
        <v>416</v>
      </c>
    </row>
    <row r="138" spans="1:5">
      <c r="A138" t="s">
        <v>191</v>
      </c>
      <c r="B138" t="s">
        <v>188</v>
      </c>
      <c r="C138" t="s">
        <v>417</v>
      </c>
      <c r="D138" t="s">
        <v>193</v>
      </c>
      <c r="E138" t="s">
        <v>418</v>
      </c>
    </row>
    <row r="139" spans="1:5">
      <c r="A139" t="s">
        <v>192</v>
      </c>
      <c r="B139" t="s">
        <v>188</v>
      </c>
      <c r="C139" t="s">
        <v>419</v>
      </c>
      <c r="D139" t="s">
        <v>193</v>
      </c>
      <c r="E139" t="s">
        <v>420</v>
      </c>
    </row>
  </sheetData>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O6"/>
  <sheetViews>
    <sheetView topLeftCell="D1" zoomScale="90" zoomScaleNormal="90" workbookViewId="0">
      <selection activeCell="H14" sqref="H14"/>
    </sheetView>
  </sheetViews>
  <sheetFormatPr defaultRowHeight="18.75"/>
  <cols>
    <col min="1" max="1" width="16.5" customWidth="1"/>
    <col min="2" max="2" width="4.75" customWidth="1"/>
    <col min="3" max="3" width="40.625" customWidth="1"/>
    <col min="4" max="4" width="77.25" customWidth="1"/>
    <col min="5" max="5" width="19.125" customWidth="1"/>
    <col min="6" max="6" width="14.25" customWidth="1"/>
    <col min="7" max="8" width="14.625" customWidth="1"/>
    <col min="9" max="10" width="18.625" customWidth="1"/>
    <col min="12" max="12" width="19.25" customWidth="1"/>
    <col min="13" max="13" width="18.5" customWidth="1"/>
  </cols>
  <sheetData>
    <row r="1" spans="1:15">
      <c r="A1" t="s">
        <v>20</v>
      </c>
      <c r="B1" t="s">
        <v>21</v>
      </c>
      <c r="C1" t="s">
        <v>22</v>
      </c>
      <c r="D1" t="s">
        <v>23</v>
      </c>
      <c r="E1" t="s">
        <v>24</v>
      </c>
      <c r="F1" t="s">
        <v>25</v>
      </c>
      <c r="G1" t="s">
        <v>26</v>
      </c>
      <c r="H1" t="s">
        <v>27</v>
      </c>
      <c r="I1" t="s">
        <v>28</v>
      </c>
      <c r="J1" t="s">
        <v>29</v>
      </c>
      <c r="K1" t="s">
        <v>30</v>
      </c>
      <c r="L1" t="s">
        <v>31</v>
      </c>
      <c r="M1" t="s">
        <v>32</v>
      </c>
      <c r="N1" t="s">
        <v>33</v>
      </c>
      <c r="O1" t="s">
        <v>34</v>
      </c>
    </row>
    <row r="2" spans="1:15">
      <c r="A2" s="4" t="s">
        <v>35</v>
      </c>
      <c r="B2" s="4" t="s">
        <v>0</v>
      </c>
      <c r="C2" s="4" t="s">
        <v>1</v>
      </c>
      <c r="D2" s="4" t="s">
        <v>36</v>
      </c>
      <c r="E2" s="4" t="s">
        <v>37</v>
      </c>
      <c r="F2" s="4" t="s">
        <v>38</v>
      </c>
      <c r="G2" s="4" t="s">
        <v>37</v>
      </c>
      <c r="H2" s="4" t="s">
        <v>38</v>
      </c>
      <c r="I2" s="4" t="s">
        <v>6</v>
      </c>
      <c r="J2" s="4" t="s">
        <v>37</v>
      </c>
      <c r="K2" s="4" t="s">
        <v>38</v>
      </c>
      <c r="L2" s="4" t="s">
        <v>39</v>
      </c>
      <c r="M2" s="4" t="s">
        <v>40</v>
      </c>
      <c r="N2" t="s">
        <v>41</v>
      </c>
      <c r="O2" t="s">
        <v>42</v>
      </c>
    </row>
    <row r="3" spans="1:15">
      <c r="A3" t="s">
        <v>43</v>
      </c>
      <c r="B3" t="s">
        <v>44</v>
      </c>
      <c r="C3" t="s">
        <v>13</v>
      </c>
      <c r="D3" t="s">
        <v>14</v>
      </c>
      <c r="F3" t="s">
        <v>15</v>
      </c>
      <c r="G3" t="s">
        <v>15</v>
      </c>
      <c r="I3" t="s">
        <v>12</v>
      </c>
      <c r="L3">
        <v>1</v>
      </c>
      <c r="M3">
        <v>1</v>
      </c>
      <c r="N3" t="s">
        <v>45</v>
      </c>
      <c r="O3" t="s">
        <v>46</v>
      </c>
    </row>
    <row r="4" spans="1:15">
      <c r="A4" t="s">
        <v>43</v>
      </c>
      <c r="B4" t="s">
        <v>47</v>
      </c>
      <c r="C4" t="s">
        <v>16</v>
      </c>
      <c r="D4" t="s">
        <v>17</v>
      </c>
      <c r="I4" t="s">
        <v>12</v>
      </c>
      <c r="L4">
        <v>1</v>
      </c>
      <c r="M4">
        <v>0</v>
      </c>
      <c r="N4" t="s">
        <v>48</v>
      </c>
    </row>
    <row r="5" spans="1:15">
      <c r="A5" t="s">
        <v>43</v>
      </c>
      <c r="B5" t="s">
        <v>49</v>
      </c>
      <c r="C5" t="s">
        <v>18</v>
      </c>
      <c r="D5" t="s">
        <v>19</v>
      </c>
      <c r="I5" t="s">
        <v>12</v>
      </c>
      <c r="L5">
        <v>0</v>
      </c>
      <c r="M5">
        <v>1</v>
      </c>
      <c r="O5" t="s">
        <v>50</v>
      </c>
    </row>
    <row r="6" spans="1:15">
      <c r="A6" t="s">
        <v>43</v>
      </c>
      <c r="B6" t="s">
        <v>51</v>
      </c>
      <c r="C6" t="s">
        <v>10</v>
      </c>
      <c r="D6" t="s">
        <v>11</v>
      </c>
      <c r="I6" t="s">
        <v>12</v>
      </c>
      <c r="L6">
        <v>1</v>
      </c>
      <c r="M6">
        <v>0</v>
      </c>
      <c r="N6" t="s">
        <v>52</v>
      </c>
    </row>
  </sheetData>
  <autoFilter ref="A2:M2" xr:uid="{00000000-0009-0000-0000-000003000000}"/>
  <phoneticPr fontId="1"/>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宅建業法</vt:lpstr>
      <vt:lpstr>民法</vt:lpstr>
      <vt:lpstr>法令上の制限</vt:lpstr>
      <vt:lpstr>その他関連知識</vt:lpstr>
      <vt:lpstr>データ宅建業法</vt:lpstr>
      <vt:lpstr>回答シート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修 古賀</cp:lastModifiedBy>
  <dcterms:created xsi:type="dcterms:W3CDTF">2015-06-05T18:19:34Z</dcterms:created>
  <dcterms:modified xsi:type="dcterms:W3CDTF">2026-03-10T20:28:47Z</dcterms:modified>
</cp:coreProperties>
</file>